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3.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6.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7.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D:\DataAnalytics\Projects\Hospital Project\"/>
    </mc:Choice>
  </mc:AlternateContent>
  <xr:revisionPtr revIDLastSave="0" documentId="13_ncr:1_{238908F2-87E7-4639-B45D-B4FA2A55E792}" xr6:coauthVersionLast="47" xr6:coauthVersionMax="47" xr10:uidLastSave="{00000000-0000-0000-0000-000000000000}"/>
  <bookViews>
    <workbookView xWindow="-120" yWindow="-120" windowWidth="20730" windowHeight="11040" activeTab="1" xr2:uid="{7895A160-2AC7-4AB0-84BA-317651D5EB71}"/>
  </bookViews>
  <sheets>
    <sheet name="Pivot Report" sheetId="1" r:id="rId1"/>
    <sheet name="Dashboard" sheetId="2" r:id="rId2"/>
    <sheet name="Average Wait Time" sheetId="4" r:id="rId3"/>
    <sheet name="Daily ER No of patient" sheetId="3" r:id="rId4"/>
    <sheet name="Satisfaction Score" sheetId="5" r:id="rId5"/>
  </sheets>
  <definedNames>
    <definedName name="Slicer_Date__Month">#N/A</definedName>
    <definedName name="Slicer_Date__Year">#N/A</definedName>
  </definedNames>
  <calcPr calcId="191029"/>
  <pivotCaches>
    <pivotCache cacheId="1356" r:id="rId6"/>
    <pivotCache cacheId="1359" r:id="rId7"/>
    <pivotCache cacheId="1362" r:id="rId8"/>
    <pivotCache cacheId="1365" r:id="rId9"/>
    <pivotCache cacheId="1368" r:id="rId10"/>
    <pivotCache cacheId="1371" r:id="rId11"/>
    <pivotCache cacheId="1374" r:id="rId12"/>
    <pivotCache cacheId="1377" r:id="rId13"/>
    <pivotCache cacheId="1380" r:id="rId14"/>
    <pivotCache cacheId="1383" r:id="rId15"/>
    <pivotCache cacheId="1386" r:id="rId16"/>
    <pivotCache cacheId="1389" r:id="rId17"/>
  </pivotCaches>
  <extLst>
    <ext xmlns:x14="http://schemas.microsoft.com/office/spreadsheetml/2009/9/main" uri="{876F7934-8845-4945-9796-88D515C7AA90}">
      <x14:pivotCaches>
        <pivotCache cacheId="1178"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497b3d82-1e86-4619-a807-e441adf5c1ed" name="Hospital Emergency Room Data" connection="Query - Hospital Emergency Room Data"/>
          <x15:modelTable id="Calendar_Table_559d0792-a935-48b3-9fc6-1b3e80ac50c2"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Month Index)" columnId="Date (Month Index)" contentType="monthsindex" isSelected="0"/>
                <x16:calculatedTimeColumn columnName="Date (Month)" columnId="Date (Month)" contentType="months" isSelected="0"/>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42" i="1" l="1"/>
  <c r="C42" i="1"/>
  <c r="B41" i="1"/>
  <c r="C41" i="1"/>
  <c r="A42" i="1"/>
  <c r="A4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1CEBEA7-3152-4E73-A184-6F0405972998}" name="Query - Calendar_Table" description="Connection to the 'Calendar_Table' query in the workbook." type="100" refreshedVersion="8" minRefreshableVersion="5">
    <extLst>
      <ext xmlns:x15="http://schemas.microsoft.com/office/spreadsheetml/2010/11/main" uri="{DE250136-89BD-433C-8126-D09CA5730AF9}">
        <x15:connection id="b5f62d37-f5fe-404e-9a16-c0cb1bbb177a"/>
      </ext>
    </extLst>
  </connection>
  <connection id="2" xr16:uid="{CF55A664-EA5B-4053-9CAA-FEE24589A038}"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bf8ec448-c839-499f-8440-0b3a66370515"/>
      </ext>
    </extLst>
  </connection>
  <connection id="3" xr16:uid="{C4C46419-37D6-4654-B49E-64095899AA62}"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<sst xmlns="http://schemas.openxmlformats.org/spreadsheetml/2006/main" count="153" uniqueCount="72">
  <si>
    <t>Distinct Count of Patient Id</t>
  </si>
  <si>
    <t>No. of patient</t>
  </si>
  <si>
    <t>Average of Patient Waittime</t>
  </si>
  <si>
    <t>Average of Patient Satisfaction Score</t>
  </si>
  <si>
    <t>Row Labels</t>
  </si>
  <si>
    <t>Grand Total</t>
  </si>
  <si>
    <t>•Showing a daily trend with an area sparkline to spot patterns like busy days or seasonal trends.</t>
  </si>
  <si>
    <t>daily trends</t>
  </si>
  <si>
    <t>avg waittime</t>
  </si>
  <si>
    <t>1-May</t>
  </si>
  <si>
    <t>2-May</t>
  </si>
  <si>
    <t>3-May</t>
  </si>
  <si>
    <t>4-May</t>
  </si>
  <si>
    <t>5-May</t>
  </si>
  <si>
    <t>6-May</t>
  </si>
  <si>
    <t>7-May</t>
  </si>
  <si>
    <t>8-May</t>
  </si>
  <si>
    <t>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</si>
  <si>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</si>
  <si>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</si>
  <si>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</si>
  <si>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</si>
  <si>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</si>
  <si>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</si>
  <si>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</si>
  <si>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</si>
  <si>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</si>
  <si>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</si>
  <si>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</si>
  <si>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</si>
  <si>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</si>
  <si>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</si>
  <si>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</si>
  <si>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</si>
  <si>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</si>
  <si>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</si>
  <si>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</si>
  <si>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</si>
  <si>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</si>
  <si>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</si>
  <si>
    <t>Count of Patient Admission Flag</t>
  </si>
  <si>
    <t>Admitted</t>
  </si>
  <si>
    <t>Not Admitted</t>
  </si>
  <si>
    <t>Count of Patient Admission Flag2</t>
  </si>
  <si>
    <t>Admission Status</t>
  </si>
  <si>
    <t>No. of Patient</t>
  </si>
  <si>
    <t>% Status</t>
  </si>
  <si>
    <t>Count of Age Group</t>
  </si>
  <si>
    <t>0-09</t>
  </si>
  <si>
    <t>10-19</t>
  </si>
  <si>
    <t>20-29</t>
  </si>
  <si>
    <t>30-39</t>
  </si>
  <si>
    <t>40-49</t>
  </si>
  <si>
    <t>50-59</t>
  </si>
  <si>
    <t>60-69</t>
  </si>
  <si>
    <t>70-79</t>
  </si>
  <si>
    <t>Ontime</t>
  </si>
  <si>
    <t>Delay</t>
  </si>
  <si>
    <t>Count of Patient attend Status</t>
  </si>
  <si>
    <t>Female</t>
  </si>
  <si>
    <t>Male</t>
  </si>
  <si>
    <t>Count of Patient Gender</t>
  </si>
  <si>
    <t>Cardiology</t>
  </si>
  <si>
    <t>Gastroenterology</t>
  </si>
  <si>
    <t>General Practice</t>
  </si>
  <si>
    <t>Neurology</t>
  </si>
  <si>
    <t>None</t>
  </si>
  <si>
    <t>Orthopedics</t>
  </si>
  <si>
    <t>Physiotherapy</t>
  </si>
  <si>
    <t>Renal</t>
  </si>
  <si>
    <t>Count of Department Referral</t>
  </si>
  <si>
    <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</si>
</sst>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Aptos Narrow"/>
      <family val="2"/>
      <scheme val="minor"/>
    </font>
    <font>
      <sz val="11"/>
      <color theme="1"/>
      <name val="Aptos Narrow"/>
      <family val="2"/>
      <scheme val="minor"/>
    </font>
  </fonts>
  <fills count="5">
    <fill>
      <patternFill patternType="none"/>
    </fill>
    <fill>
      <patternFill patternType="gray125"/>
    </fill>
    <fill>
      <patternFill patternType="solid">
        <fgColor theme="1" tint="0.34998626667073579"/>
        <bgColor indexed="64"/>
      </patternFill>
    </fill>
    <fill>
      <patternFill patternType="solid">
        <fgColor theme="0" tint="-0.14999847407452621"/>
        <bgColor indexed="64"/>
      </patternFill>
    </fill>
    <fill>
      <patternFill patternType="solid">
        <fgColor theme="3" tint="0.89999084444715716"/>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4">
    <xf numFmtId="0" fontId="0" fillId="0" borderId="0" xfId="0"/>
    <xf numFmtId="0" fontId="0" fillId="0" borderId="0" xfId="0" pivotButton="1"/>
    <xf numFmtId="2" fontId="0" fillId="0" borderId="0" xfId="0" applyNumberFormat="1"/>
    <xf numFmtId="0" fontId="0" fillId="2" borderId="0" xfId="0" applyFill="1"/>
    <xf numFmtId="0" fontId="0" fillId="0" borderId="0" xfId="0" applyAlignment="1">
      <alignment horizontal="left"/>
    </xf>
    <xf numFmtId="0" fontId="0" fillId="3" borderId="0" xfId="0" applyFill="1"/>
    <xf numFmtId="0" fontId="0" fillId="3" borderId="0" xfId="0" applyFill="1" applyAlignment="1">
      <alignment horizontal="left" vertical="center" indent="5"/>
    </xf>
    <xf numFmtId="0" fontId="0" fillId="0" borderId="0" xfId="0" applyNumberFormat="1"/>
    <xf numFmtId="1" fontId="0" fillId="0" borderId="0" xfId="0" applyNumberFormat="1"/>
    <xf numFmtId="10" fontId="0" fillId="0" borderId="0" xfId="0" applyNumberFormat="1"/>
    <xf numFmtId="9" fontId="0" fillId="0" borderId="0" xfId="0" applyNumberFormat="1"/>
    <xf numFmtId="0" fontId="0" fillId="4" borderId="0" xfId="0" applyFill="1" applyAlignment="1">
      <alignment horizontal="center"/>
    </xf>
    <xf numFmtId="0" fontId="0" fillId="0" borderId="0" xfId="0" applyAlignment="1">
      <alignment horizontal="center"/>
    </xf>
    <xf numFmtId="9" fontId="0" fillId="0" borderId="0" xfId="1" applyFont="1" applyAlignment="1">
      <alignment horizontal="center"/>
    </xf>
  </cellXfs>
  <cellStyles count="2">
    <cellStyle name="Normal" xfId="0" builtinId="0"/>
    <cellStyle name="Per cent" xfId="1" builtinId="5"/>
  </cellStyles>
  <dxfs count="441">
    <dxf>
      <numFmt numFmtId="1" formatCode="0"/>
    </dxf>
    <dxf>
      <numFmt numFmtId="1" formatCode="0"/>
    </dxf>
    <dxf>
      <numFmt numFmtId="1" formatCode="0"/>
    </dxf>
    <dxf>
      <numFmt numFmtId="1" formatCode="0"/>
    </dxf>
    <dxf>
      <numFmt numFmtId="2" formatCode="0.00"/>
    </dxf>
    <dxf>
      <numFmt numFmtId="1" formatCode="0"/>
    </dxf>
    <dxf>
      <numFmt numFmtId="2" formatCode="0.00"/>
    </dxf>
    <dxf>
      <numFmt numFmtId="1" formatCode="0"/>
    </dxf>
    <dxf>
      <numFmt numFmtId="1" formatCode="0"/>
    </dxf>
    <dxf>
      <numFmt numFmtId="14" formatCode="0.00%"/>
    </dxf>
    <dxf>
      <numFmt numFmtId="13"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14" formatCode="0.00%"/>
    </dxf>
    <dxf>
      <numFmt numFmtId="13"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2" formatCode="0.00"/>
    </dxf>
    <dxf>
      <numFmt numFmtId="1" formatCode="0"/>
    </dxf>
    <dxf>
      <numFmt numFmtId="1" formatCode="0"/>
    </dxf>
    <dxf>
      <numFmt numFmtId="14" formatCode="0.00%"/>
    </dxf>
    <dxf>
      <numFmt numFmtId="13" formatCode="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1" formatCode="0"/>
    </dxf>
    <dxf>
      <numFmt numFmtId="2" formatCode="0.00"/>
    </dxf>
    <dxf>
      <numFmt numFmtId="1" formatCode="0"/>
    </dxf>
    <dxf>
      <numFmt numFmtId="1" formatCode="0"/>
    </dxf>
    <dxf>
      <numFmt numFmtId="14" formatCode="0.00%"/>
    </dxf>
    <dxf>
      <numFmt numFmtId="13" formatCode="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1" formatCode="0"/>
    </dxf>
    <dxf>
      <numFmt numFmtId="2" formatCode="0.00"/>
    </dxf>
    <dxf>
      <numFmt numFmtId="1" formatCode="0"/>
    </dxf>
    <dxf>
      <numFmt numFmtId="1" formatCode="0"/>
    </dxf>
    <dxf>
      <numFmt numFmtId="14" formatCode="0.00%"/>
    </dxf>
    <dxf>
      <numFmt numFmtId="13" formatCode="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1" formatCode="0"/>
    </dxf>
    <dxf>
      <numFmt numFmtId="2" formatCode="0.00"/>
    </dxf>
    <dxf>
      <numFmt numFmtId="1" formatCode="0"/>
    </dxf>
    <dxf>
      <numFmt numFmtId="1" formatCode="0"/>
    </dxf>
    <dxf>
      <numFmt numFmtId="14" formatCode="0.00%"/>
    </dxf>
    <dxf>
      <numFmt numFmtId="13" formatCode="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1" formatCode="0"/>
    </dxf>
    <dxf>
      <numFmt numFmtId="2" formatCode="0.00"/>
    </dxf>
    <dxf>
      <numFmt numFmtId="1" formatCode="0"/>
    </dxf>
    <dxf>
      <numFmt numFmtId="1" formatCode="0"/>
    </dxf>
    <dxf>
      <numFmt numFmtId="14" formatCode="0.00%"/>
    </dxf>
    <dxf>
      <numFmt numFmtId="13" formatCode="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1" formatCode="0"/>
    </dxf>
    <dxf>
      <numFmt numFmtId="2" formatCode="0.00"/>
    </dxf>
    <dxf>
      <numFmt numFmtId="1" formatCode="0"/>
    </dxf>
    <dxf>
      <numFmt numFmtId="1" formatCode="0"/>
    </dxf>
    <dxf>
      <numFmt numFmtId="14" formatCode="0.00%"/>
    </dxf>
    <dxf>
      <numFmt numFmtId="13" formatCode="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1" formatCode="0"/>
    </dxf>
    <dxf>
      <numFmt numFmtId="2" formatCode="0.00"/>
    </dxf>
    <dxf>
      <numFmt numFmtId="1" formatCode="0"/>
    </dxf>
    <dxf>
      <numFmt numFmtId="1" formatCode="0"/>
    </dxf>
    <dxf>
      <numFmt numFmtId="14" formatCode="0.00%"/>
    </dxf>
    <dxf>
      <numFmt numFmtId="13" formatCode="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1" formatCode="0"/>
    </dxf>
    <dxf>
      <numFmt numFmtId="2" formatCode="0.00"/>
    </dxf>
    <dxf>
      <numFmt numFmtId="1" formatCode="0"/>
    </dxf>
    <dxf>
      <numFmt numFmtId="1" formatCode="0"/>
    </dxf>
    <dxf>
      <numFmt numFmtId="14" formatCode="0.00%"/>
    </dxf>
    <dxf>
      <numFmt numFmtId="13" formatCode="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1" formatCode="0"/>
    </dxf>
    <dxf>
      <numFmt numFmtId="2" formatCode="0.00"/>
    </dxf>
    <dxf>
      <numFmt numFmtId="1" formatCode="0"/>
    </dxf>
    <dxf>
      <numFmt numFmtId="1" formatCode="0"/>
    </dxf>
    <dxf>
      <numFmt numFmtId="14" formatCode="0.00%"/>
    </dxf>
    <dxf>
      <numFmt numFmtId="13"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14" formatCode="0.00%"/>
    </dxf>
    <dxf>
      <numFmt numFmtId="13"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2" formatCode="0.00"/>
    </dxf>
    <dxf>
      <numFmt numFmtId="1" formatCode="0"/>
    </dxf>
    <dxf>
      <numFmt numFmtId="1" formatCode="0"/>
    </dxf>
    <dxf>
      <numFmt numFmtId="14" formatCode="0.00%"/>
    </dxf>
    <dxf>
      <numFmt numFmtId="13" formatCode="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1" formatCode="0"/>
    </dxf>
    <dxf>
      <numFmt numFmtId="2" formatCode="0.00"/>
    </dxf>
    <dxf>
      <numFmt numFmtId="1" formatCode="0"/>
    </dxf>
    <dxf>
      <numFmt numFmtId="1" formatCode="0"/>
    </dxf>
    <dxf>
      <numFmt numFmtId="14" formatCode="0.00%"/>
    </dxf>
    <dxf>
      <numFmt numFmtId="13" formatCode="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1" formatCode="0"/>
    </dxf>
    <dxf>
      <numFmt numFmtId="2" formatCode="0.00"/>
    </dxf>
    <dxf>
      <numFmt numFmtId="1" formatCode="0"/>
    </dxf>
    <dxf>
      <numFmt numFmtId="1" formatCode="0"/>
    </dxf>
    <dxf>
      <numFmt numFmtId="14" formatCode="0.00%"/>
    </dxf>
    <dxf>
      <numFmt numFmtId="13" formatCode="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1" formatCode="0"/>
    </dxf>
    <dxf>
      <numFmt numFmtId="2" formatCode="0.00"/>
    </dxf>
    <dxf>
      <numFmt numFmtId="1" formatCode="0"/>
    </dxf>
    <dxf>
      <numFmt numFmtId="1" formatCode="0"/>
    </dxf>
    <dxf>
      <numFmt numFmtId="14" formatCode="0.00%"/>
    </dxf>
    <dxf>
      <numFmt numFmtId="13" formatCode="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1" formatCode="0"/>
    </dxf>
    <dxf>
      <numFmt numFmtId="2" formatCode="0.00"/>
    </dxf>
    <dxf>
      <numFmt numFmtId="1" formatCode="0"/>
    </dxf>
    <dxf>
      <numFmt numFmtId="1" formatCode="0"/>
    </dxf>
    <dxf>
      <numFmt numFmtId="14" formatCode="0.00%"/>
    </dxf>
    <dxf>
      <numFmt numFmtId="13" formatCode="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1" formatCode="0"/>
    </dxf>
    <dxf>
      <numFmt numFmtId="2" formatCode="0.00"/>
    </dxf>
    <dxf>
      <numFmt numFmtId="1" formatCode="0"/>
    </dxf>
    <dxf>
      <numFmt numFmtId="1" formatCode="0"/>
    </dxf>
    <dxf>
      <numFmt numFmtId="14" formatCode="0.00%"/>
    </dxf>
    <dxf>
      <numFmt numFmtId="13" formatCode="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1" formatCode="0"/>
    </dxf>
    <dxf>
      <numFmt numFmtId="2" formatCode="0.00"/>
    </dxf>
    <dxf>
      <numFmt numFmtId="1" formatCode="0"/>
    </dxf>
    <dxf>
      <numFmt numFmtId="1" formatCode="0"/>
    </dxf>
    <dxf>
      <numFmt numFmtId="14" formatCode="0.00%"/>
    </dxf>
    <dxf>
      <numFmt numFmtId="13"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14" formatCode="0.00%"/>
    </dxf>
    <dxf>
      <numFmt numFmtId="13" formatCode="0%"/>
    </dxf>
    <dxf>
      <numFmt numFmtId="1" formatCode="0"/>
    </dxf>
    <dxf>
      <numFmt numFmtId="1" formatCode="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14" formatCode="0.00%"/>
    </dxf>
    <dxf>
      <numFmt numFmtId="13" formatCode="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14" formatCode="0.00%"/>
    </dxf>
    <dxf>
      <numFmt numFmtId="13"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2" formatCode="0.00"/>
    </dxf>
    <dxf>
      <numFmt numFmtId="1" formatCode="0"/>
    </dxf>
    <dxf>
      <numFmt numFmtId="1" formatCode="0"/>
    </dxf>
    <dxf>
      <numFmt numFmtId="14" formatCode="0.00%"/>
    </dxf>
    <dxf>
      <numFmt numFmtId="13" formatCode="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2" formatCode="0.00"/>
    </dxf>
    <dxf>
      <numFmt numFmtId="1" formatCode="0"/>
    </dxf>
    <dxf>
      <numFmt numFmtId="1" formatCode="0"/>
    </dxf>
    <dxf>
      <numFmt numFmtId="14" formatCode="0.00%"/>
    </dxf>
    <dxf>
      <numFmt numFmtId="13" formatCode="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2" formatCode="0.00"/>
    </dxf>
    <dxf>
      <numFmt numFmtId="1" formatCode="0"/>
    </dxf>
    <dxf>
      <numFmt numFmtId="1" formatCode="0"/>
    </dxf>
    <dxf>
      <numFmt numFmtId="14" formatCode="0.00%"/>
    </dxf>
    <dxf>
      <numFmt numFmtId="13" formatCode="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2" formatCode="0.00"/>
    </dxf>
    <dxf>
      <numFmt numFmtId="1" formatCode="0"/>
    </dxf>
    <dxf>
      <numFmt numFmtId="1" formatCode="0"/>
    </dxf>
    <dxf>
      <numFmt numFmtId="14" formatCode="0.00%"/>
    </dxf>
    <dxf>
      <numFmt numFmtId="13" formatCode="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1" formatCode="0"/>
    </dxf>
    <dxf>
      <numFmt numFmtId="2" formatCode="0.00"/>
    </dxf>
    <dxf>
      <numFmt numFmtId="1" formatCode="0"/>
    </dxf>
    <dxf>
      <numFmt numFmtId="1" formatCode="0"/>
    </dxf>
    <dxf>
      <numFmt numFmtId="14" formatCode="0.00%"/>
    </dxf>
    <dxf>
      <numFmt numFmtId="13" formatCode="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1" formatCode="0"/>
    </dxf>
    <dxf>
      <numFmt numFmtId="2" formatCode="0.00"/>
    </dxf>
    <dxf>
      <numFmt numFmtId="1" formatCode="0"/>
    </dxf>
    <dxf>
      <numFmt numFmtId="1" formatCode="0"/>
    </dxf>
    <dxf>
      <numFmt numFmtId="14" formatCode="0.00%"/>
    </dxf>
    <dxf>
      <numFmt numFmtId="13" formatCode="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13" formatCode="0%"/>
    </dxf>
    <dxf>
      <numFmt numFmtId="14"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font>
        <b/>
        <color theme="1"/>
      </font>
      <border>
        <bottom style="thin">
          <color theme="5"/>
        </bottom>
        <vertical/>
        <horizontal/>
      </border>
    </dxf>
    <dxf>
      <font>
        <sz val="7"/>
        <color theme="1"/>
      </font>
      <fill>
        <patternFill>
          <bgColor theme="0" tint="-4.9989318521683403E-2"/>
        </patternFill>
      </fill>
      <border diagonalUp="0" diagonalDown="0">
        <left/>
        <right/>
        <top/>
        <bottom/>
        <vertical/>
        <horizontal/>
      </border>
    </dxf>
  </dxfs>
  <tableStyles count="1" defaultTableStyle="TableStyleMedium2" defaultPivotStyle="PivotStyleLight16">
    <tableStyle name="My Style" pivot="0" table="0" count="10" xr9:uid="{9C43FA0D-6204-45A1-95E1-29E71A3D0A17}">
      <tableStyleElement type="wholeTable" dxfId="440"/>
      <tableStyleElement type="headerRow" dxfId="439"/>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File Recording 2.xlsx]Pivot Report!PivotTable2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fld id="{FFC78282-7D41-4323-BA18-4FA6D9F7967D}" type="CELLRANGE">
                  <a:rPr lang="en-US"/>
                  <a:pPr>
                    <a:defRPr sz="600"/>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fld id="{AA4E6E29-9E03-49AC-971F-8216AE2A5753}" type="CELLRANGE">
                  <a:rPr lang="en-US"/>
                  <a:pPr>
                    <a:defRPr sz="600"/>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manualLayout>
          <c:layoutTarget val="inner"/>
          <c:xMode val="edge"/>
          <c:yMode val="edge"/>
          <c:x val="0.17985932761312215"/>
          <c:y val="0.18597924924637713"/>
          <c:w val="0.77644924164883233"/>
          <c:h val="0.62804146658696758"/>
        </c:manualLayout>
      </c:layout>
      <c:barChart>
        <c:barDir val="bar"/>
        <c:grouping val="clustered"/>
        <c:varyColors val="0"/>
        <c:ser>
          <c:idx val="0"/>
          <c:order val="0"/>
          <c:tx>
            <c:strRef>
              <c:f>'Pivot Report'!$C$15:$C$16</c:f>
              <c:strCache>
                <c:ptCount val="1"/>
                <c:pt idx="0">
                  <c:v>Count of Patient Admission Flag</c:v>
                </c:pt>
              </c:strCache>
            </c:strRef>
          </c:tx>
          <c:spPr>
            <a:solidFill>
              <a:schemeClr val="accent1"/>
            </a:solidFill>
            <a:ln>
              <a:noFill/>
            </a:ln>
            <a:effectLst/>
          </c:spPr>
          <c:invertIfNegative val="0"/>
          <c:dLbls>
            <c:dLbl>
              <c:idx val="0"/>
              <c:tx>
                <c:rich>
                  <a:bodyPr/>
                  <a:lstStyle/>
                  <a:p>
                    <a:fld id="{FFC78282-7D41-4323-BA18-4FA6D9F7967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dLbl>
              <c:idx val="1"/>
              <c:tx>
                <c:rich>
                  <a:bodyPr/>
                  <a:lstStyle/>
                  <a:p>
                    <a:fld id="{AA4E6E29-9E03-49AC-971F-8216AE2A575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Report'!$C$15:$C$16</c:f>
              <c:strCache>
                <c:ptCount val="2"/>
                <c:pt idx="0">
                  <c:v>Admitted</c:v>
                </c:pt>
                <c:pt idx="1">
                  <c:v>Not Admitted</c:v>
                </c:pt>
              </c:strCache>
            </c:strRef>
          </c:cat>
          <c:val>
            <c:numRef>
              <c:f>'Pivot Report'!$C$15:$C$16</c:f>
              <c:numCache>
                <c:formatCode>0</c:formatCode>
                <c:ptCount val="2"/>
                <c:pt idx="0">
                  <c:v>266</c:v>
                </c:pt>
                <c:pt idx="1">
                  <c:v>253</c:v>
                </c:pt>
              </c:numCache>
            </c:numRef>
          </c:val>
          <c:extLst>
            <c:ext xmlns:c16="http://schemas.microsoft.com/office/drawing/2014/chart" uri="{C3380CC4-5D6E-409C-BE32-E72D297353CC}">
              <c16:uniqueId val="{00000005-73B5-403E-BEBF-54AE023EE96F}"/>
            </c:ext>
          </c:extLst>
        </c:ser>
        <c:ser>
          <c:idx val="1"/>
          <c:order val="1"/>
          <c:tx>
            <c:strRef>
              <c:f>'Pivot Report'!$C$15:$C$16</c:f>
              <c:strCache>
                <c:ptCount val="1"/>
                <c:pt idx="0">
                  <c:v>Count of Patient Admission Flag2</c:v>
                </c:pt>
              </c:strCache>
            </c:strRef>
          </c:tx>
          <c:spPr>
            <a:solidFill>
              <a:schemeClr val="accent2"/>
            </a:solidFill>
            <a:ln>
              <a:noFill/>
            </a:ln>
            <a:effectLst/>
          </c:spPr>
          <c:invertIfNegative val="0"/>
          <c:cat>
            <c:strRef>
              <c:f>'Pivot Report'!$C$15:$C$16</c:f>
              <c:strCache>
                <c:ptCount val="2"/>
                <c:pt idx="0">
                  <c:v>Admitted</c:v>
                </c:pt>
                <c:pt idx="1">
                  <c:v>Not Admitted</c:v>
                </c:pt>
              </c:strCache>
            </c:strRef>
          </c:cat>
          <c:val>
            <c:numRef>
              <c:f>'Pivot Report'!$C$15:$C$16</c:f>
              <c:numCache>
                <c:formatCode>0%</c:formatCode>
                <c:ptCount val="2"/>
                <c:pt idx="0">
                  <c:v>0.51252408477842004</c:v>
                </c:pt>
                <c:pt idx="1">
                  <c:v>0.48747591522157996</c:v>
                </c:pt>
              </c:numCache>
            </c:numRef>
          </c:val>
          <c:extLst>
            <c:ext xmlns:c16="http://schemas.microsoft.com/office/drawing/2014/chart" uri="{C3380CC4-5D6E-409C-BE32-E72D297353CC}">
              <c16:uniqueId val="{00000006-73B5-403E-BEBF-54AE023EE96F}"/>
            </c:ext>
          </c:extLst>
        </c:ser>
        <c:dLbls>
          <c:showLegendKey val="0"/>
          <c:showVal val="0"/>
          <c:showCatName val="0"/>
          <c:showSerName val="0"/>
          <c:showPercent val="0"/>
          <c:showBubbleSize val="0"/>
        </c:dLbls>
        <c:gapWidth val="0"/>
        <c:axId val="1119223344"/>
        <c:axId val="1119249264"/>
      </c:barChart>
      <c:catAx>
        <c:axId val="1119223344"/>
        <c:scaling>
          <c:orientation val="minMax"/>
        </c:scaling>
        <c:delete val="1"/>
        <c:axPos val="l"/>
        <c:numFmt formatCode="General" sourceLinked="1"/>
        <c:majorTickMark val="none"/>
        <c:minorTickMark val="none"/>
        <c:tickLblPos val="nextTo"/>
        <c:crossAx val="1119249264"/>
        <c:crosses val="autoZero"/>
        <c:auto val="1"/>
        <c:lblAlgn val="l"/>
        <c:lblOffset val="100"/>
        <c:noMultiLvlLbl val="0"/>
      </c:catAx>
      <c:valAx>
        <c:axId val="1119249264"/>
        <c:scaling>
          <c:orientation val="minMax"/>
        </c:scaling>
        <c:delete val="1"/>
        <c:axPos val="b"/>
        <c:numFmt formatCode="0" sourceLinked="1"/>
        <c:majorTickMark val="none"/>
        <c:minorTickMark val="none"/>
        <c:tickLblPos val="nextTo"/>
        <c:crossAx val="11192233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File Recording 2.xlsx]Pivot Report!PivotTable4</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Report'!$B$59</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'Pivot Report'!$A$60:$A$62</c:f>
              <c:strCache>
                <c:ptCount val="2"/>
                <c:pt idx="0">
                  <c:v>Delay</c:v>
                </c:pt>
                <c:pt idx="1">
                  <c:v>Ontime</c:v>
                </c:pt>
              </c:strCache>
            </c:strRef>
          </c:cat>
          <c:val>
            <c:numRef>
              <c:f>'Pivot Report'!$B$60:$B$62</c:f>
              <c:numCache>
                <c:formatCode>0</c:formatCode>
                <c:ptCount val="2"/>
                <c:pt idx="0">
                  <c:v>324</c:v>
                </c:pt>
                <c:pt idx="1">
                  <c:v>195</c:v>
                </c:pt>
              </c:numCache>
            </c:numRef>
          </c:val>
          <c:extLst>
            <c:ext xmlns:c16="http://schemas.microsoft.com/office/drawing/2014/chart" uri="{C3380CC4-5D6E-409C-BE32-E72D297353CC}">
              <c16:uniqueId val="{00000002-64E5-4E00-B5A0-7780ABACBE0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File Recording 2.xlsx]Pivot Report!PivotTable10</c:name>
    <c:fmtId val="15"/>
  </c:pivotSource>
  <c:chart>
    <c:title>
      <c:layout>
        <c:manualLayout>
          <c:xMode val="edge"/>
          <c:yMode val="edge"/>
          <c:x val="0.31065203045761758"/>
          <c:y val="0.82606489308313635"/>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2345278737822829"/>
          <c:y val="0.14489498961250868"/>
          <c:w val="0.67214550231867198"/>
          <c:h val="0.62539594425239498"/>
        </c:manualLayout>
      </c:layout>
      <c:doughnutChart>
        <c:varyColors val="1"/>
        <c:ser>
          <c:idx val="0"/>
          <c:order val="0"/>
          <c:tx>
            <c:strRef>
              <c:f>'Pivot Report'!$B$68</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Report'!$A$69:$A$71</c:f>
              <c:strCache>
                <c:ptCount val="2"/>
                <c:pt idx="0">
                  <c:v>Female</c:v>
                </c:pt>
                <c:pt idx="1">
                  <c:v>Male</c:v>
                </c:pt>
              </c:strCache>
            </c:strRef>
          </c:cat>
          <c:val>
            <c:numRef>
              <c:f>'Pivot Report'!$B$69:$B$71</c:f>
              <c:numCache>
                <c:formatCode>0</c:formatCode>
                <c:ptCount val="2"/>
                <c:pt idx="0">
                  <c:v>254</c:v>
                </c:pt>
                <c:pt idx="1">
                  <c:v>265</c:v>
                </c:pt>
              </c:numCache>
            </c:numRef>
          </c:val>
          <c:extLst>
            <c:ext xmlns:c16="http://schemas.microsoft.com/office/drawing/2014/chart" uri="{C3380CC4-5D6E-409C-BE32-E72D297353CC}">
              <c16:uniqueId val="{00000002-1908-4B56-A0A0-AEF106D33DF3}"/>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8.3976032175982929E-2"/>
          <c:y val="3.120733208290925E-2"/>
          <c:w val="0.66306258134871776"/>
          <c:h val="0.1548888496379096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File Recording 2.xlsx]Pivot Report!PivotTable12</c:name>
    <c:fmtId val="2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Report'!$B$76</c:f>
              <c:strCache>
                <c:ptCount val="1"/>
                <c:pt idx="0">
                  <c:v>Total</c:v>
                </c:pt>
              </c:strCache>
            </c:strRef>
          </c:tx>
          <c:spPr>
            <a:solidFill>
              <a:schemeClr val="accent1"/>
            </a:solidFill>
            <a:ln>
              <a:noFill/>
            </a:ln>
            <a:effectLst/>
          </c:spPr>
          <c:invertIfNegative val="0"/>
          <c:cat>
            <c:strRef>
              <c:f>'Pivot Report'!$A$77:$A$85</c:f>
              <c:strCache>
                <c:ptCount val="8"/>
                <c:pt idx="0">
                  <c:v>Renal</c:v>
                </c:pt>
                <c:pt idx="1">
                  <c:v>Gastroenterology</c:v>
                </c:pt>
                <c:pt idx="2">
                  <c:v>Cardiology</c:v>
                </c:pt>
                <c:pt idx="3">
                  <c:v>Physiotherapy</c:v>
                </c:pt>
                <c:pt idx="4">
                  <c:v>Neurology</c:v>
                </c:pt>
                <c:pt idx="5">
                  <c:v>Orthopedics</c:v>
                </c:pt>
                <c:pt idx="6">
                  <c:v>General Practice</c:v>
                </c:pt>
                <c:pt idx="7">
                  <c:v>None</c:v>
                </c:pt>
              </c:strCache>
            </c:strRef>
          </c:cat>
          <c:val>
            <c:numRef>
              <c:f>'Pivot Report'!$B$77:$B$85</c:f>
              <c:numCache>
                <c:formatCode>0</c:formatCode>
                <c:ptCount val="8"/>
                <c:pt idx="0">
                  <c:v>3</c:v>
                </c:pt>
                <c:pt idx="1">
                  <c:v>8</c:v>
                </c:pt>
                <c:pt idx="2">
                  <c:v>11</c:v>
                </c:pt>
                <c:pt idx="3">
                  <c:v>15</c:v>
                </c:pt>
                <c:pt idx="4">
                  <c:v>16</c:v>
                </c:pt>
                <c:pt idx="5">
                  <c:v>51</c:v>
                </c:pt>
                <c:pt idx="6">
                  <c:v>102</c:v>
                </c:pt>
                <c:pt idx="7">
                  <c:v>313</c:v>
                </c:pt>
              </c:numCache>
            </c:numRef>
          </c:val>
          <c:extLst>
            <c:ext xmlns:c16="http://schemas.microsoft.com/office/drawing/2014/chart" uri="{C3380CC4-5D6E-409C-BE32-E72D297353CC}">
              <c16:uniqueId val="{00000002-0236-427E-9237-850C8ACF19C3}"/>
            </c:ext>
          </c:extLst>
        </c:ser>
        <c:dLbls>
          <c:showLegendKey val="0"/>
          <c:showVal val="0"/>
          <c:showCatName val="0"/>
          <c:showSerName val="0"/>
          <c:showPercent val="0"/>
          <c:showBubbleSize val="0"/>
        </c:dLbls>
        <c:gapWidth val="182"/>
        <c:axId val="1914641152"/>
        <c:axId val="1914621472"/>
      </c:barChart>
      <c:catAx>
        <c:axId val="19146411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4621472"/>
        <c:crosses val="autoZero"/>
        <c:auto val="1"/>
        <c:lblAlgn val="ctr"/>
        <c:lblOffset val="100"/>
        <c:noMultiLvlLbl val="0"/>
      </c:catAx>
      <c:valAx>
        <c:axId val="191462147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4641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File Recording 2.xlsx]Pivot Report!PivotTable7</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7949913530027874E-2"/>
          <c:y val="0.19382656746351756"/>
          <c:w val="0.97514814724600973"/>
          <c:h val="0.79303380714290739"/>
        </c:manualLayout>
      </c:layout>
      <c:areaChart>
        <c:grouping val="standard"/>
        <c:varyColors val="0"/>
        <c:ser>
          <c:idx val="0"/>
          <c:order val="0"/>
          <c:tx>
            <c:strRef>
              <c:f>'Pivot Report'!$E$4</c:f>
              <c:strCache>
                <c:ptCount val="1"/>
                <c:pt idx="0">
                  <c:v>Total</c:v>
                </c:pt>
              </c:strCache>
            </c:strRef>
          </c:tx>
          <c:spPr>
            <a:solidFill>
              <a:schemeClr val="accent1"/>
            </a:solidFill>
            <a:ln w="25400">
              <a:noFill/>
            </a:ln>
            <a:effectLst/>
          </c:spPr>
          <c:cat>
            <c:strRef>
              <c:f>'Pivot Report'!$D$5:$D$36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Report'!$E$5:$E$36</c:f>
              <c:numCache>
                <c:formatCode>General</c:formatCode>
                <c:ptCount val="31"/>
                <c:pt idx="0">
                  <c:v>14</c:v>
                </c:pt>
                <c:pt idx="1">
                  <c:v>21</c:v>
                </c:pt>
                <c:pt idx="2">
                  <c:v>21</c:v>
                </c:pt>
                <c:pt idx="3">
                  <c:v>15</c:v>
                </c:pt>
                <c:pt idx="4">
                  <c:v>11</c:v>
                </c:pt>
                <c:pt idx="5">
                  <c:v>17</c:v>
                </c:pt>
                <c:pt idx="6">
                  <c:v>15</c:v>
                </c:pt>
                <c:pt idx="7">
                  <c:v>17</c:v>
                </c:pt>
                <c:pt idx="8">
                  <c:v>13</c:v>
                </c:pt>
                <c:pt idx="9">
                  <c:v>24</c:v>
                </c:pt>
                <c:pt idx="10">
                  <c:v>13</c:v>
                </c:pt>
                <c:pt idx="11">
                  <c:v>14</c:v>
                </c:pt>
                <c:pt idx="12">
                  <c:v>12</c:v>
                </c:pt>
                <c:pt idx="13">
                  <c:v>11</c:v>
                </c:pt>
                <c:pt idx="14">
                  <c:v>16</c:v>
                </c:pt>
                <c:pt idx="15">
                  <c:v>20</c:v>
                </c:pt>
                <c:pt idx="16">
                  <c:v>15</c:v>
                </c:pt>
                <c:pt idx="17">
                  <c:v>19</c:v>
                </c:pt>
                <c:pt idx="18">
                  <c:v>16</c:v>
                </c:pt>
                <c:pt idx="19">
                  <c:v>17</c:v>
                </c:pt>
                <c:pt idx="20">
                  <c:v>28</c:v>
                </c:pt>
                <c:pt idx="21">
                  <c:v>22</c:v>
                </c:pt>
                <c:pt idx="22">
                  <c:v>20</c:v>
                </c:pt>
                <c:pt idx="23">
                  <c:v>17</c:v>
                </c:pt>
                <c:pt idx="24">
                  <c:v>18</c:v>
                </c:pt>
                <c:pt idx="25">
                  <c:v>13</c:v>
                </c:pt>
                <c:pt idx="26">
                  <c:v>13</c:v>
                </c:pt>
                <c:pt idx="27">
                  <c:v>13</c:v>
                </c:pt>
                <c:pt idx="28">
                  <c:v>20</c:v>
                </c:pt>
                <c:pt idx="29">
                  <c:v>15</c:v>
                </c:pt>
                <c:pt idx="30">
                  <c:v>19</c:v>
                </c:pt>
              </c:numCache>
            </c:numRef>
          </c:val>
          <c:extLst>
            <c:ext xmlns:c16="http://schemas.microsoft.com/office/drawing/2014/chart" uri="{C3380CC4-5D6E-409C-BE32-E72D297353CC}">
              <c16:uniqueId val="{00000000-B6A0-460A-B5A4-81344277217D}"/>
            </c:ext>
          </c:extLst>
        </c:ser>
        <c:dLbls>
          <c:showLegendKey val="0"/>
          <c:showVal val="0"/>
          <c:showCatName val="0"/>
          <c:showSerName val="0"/>
          <c:showPercent val="0"/>
          <c:showBubbleSize val="0"/>
        </c:dLbls>
        <c:axId val="1149437952"/>
        <c:axId val="1149438432"/>
      </c:areaChart>
      <c:catAx>
        <c:axId val="1149437952"/>
        <c:scaling>
          <c:orientation val="minMax"/>
        </c:scaling>
        <c:delete val="1"/>
        <c:axPos val="b"/>
        <c:numFmt formatCode="General" sourceLinked="1"/>
        <c:majorTickMark val="out"/>
        <c:minorTickMark val="none"/>
        <c:tickLblPos val="nextTo"/>
        <c:crossAx val="1149438432"/>
        <c:crosses val="autoZero"/>
        <c:auto val="1"/>
        <c:lblAlgn val="ctr"/>
        <c:lblOffset val="100"/>
        <c:noMultiLvlLbl val="0"/>
      </c:catAx>
      <c:valAx>
        <c:axId val="1149438432"/>
        <c:scaling>
          <c:orientation val="minMax"/>
        </c:scaling>
        <c:delete val="1"/>
        <c:axPos val="l"/>
        <c:numFmt formatCode="General" sourceLinked="1"/>
        <c:majorTickMark val="none"/>
        <c:minorTickMark val="none"/>
        <c:tickLblPos val="nextTo"/>
        <c:crossAx val="1149437952"/>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File Recording 2.xlsx]Pivot Report!PivotTable8</c:name>
    <c:fmtId val="2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6735594966517039E-2"/>
          <c:y val="6.1166558001905782E-3"/>
          <c:w val="0.97890647205684655"/>
          <c:h val="0.99388334419980939"/>
        </c:manualLayout>
      </c:layout>
      <c:areaChart>
        <c:grouping val="standard"/>
        <c:varyColors val="0"/>
        <c:ser>
          <c:idx val="0"/>
          <c:order val="0"/>
          <c:tx>
            <c:strRef>
              <c:f>'Pivot Report'!$I$3</c:f>
              <c:strCache>
                <c:ptCount val="1"/>
                <c:pt idx="0">
                  <c:v>Total</c:v>
                </c:pt>
              </c:strCache>
            </c:strRef>
          </c:tx>
          <c:spPr>
            <a:solidFill>
              <a:schemeClr val="accent1"/>
            </a:solidFill>
            <a:ln>
              <a:noFill/>
            </a:ln>
            <a:effectLst/>
          </c:spPr>
          <c:cat>
            <c:strRef>
              <c:f>'Pivot Report'!$H$4:$H$35</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Report'!$I$4:$I$35</c:f>
              <c:numCache>
                <c:formatCode>0.00</c:formatCode>
                <c:ptCount val="31"/>
                <c:pt idx="0">
                  <c:v>33.205882352941174</c:v>
                </c:pt>
                <c:pt idx="1">
                  <c:v>30.135135135135137</c:v>
                </c:pt>
                <c:pt idx="2">
                  <c:v>38.512195121951223</c:v>
                </c:pt>
                <c:pt idx="3">
                  <c:v>34.806451612903224</c:v>
                </c:pt>
                <c:pt idx="4">
                  <c:v>34.517241379310342</c:v>
                </c:pt>
                <c:pt idx="5">
                  <c:v>36.575757575757578</c:v>
                </c:pt>
                <c:pt idx="6">
                  <c:v>35.833333333333336</c:v>
                </c:pt>
                <c:pt idx="7">
                  <c:v>35.567567567567565</c:v>
                </c:pt>
                <c:pt idx="8">
                  <c:v>36.333333333333336</c:v>
                </c:pt>
                <c:pt idx="9">
                  <c:v>31.351351351351351</c:v>
                </c:pt>
                <c:pt idx="10">
                  <c:v>31.64516129032258</c:v>
                </c:pt>
                <c:pt idx="11">
                  <c:v>40.200000000000003</c:v>
                </c:pt>
                <c:pt idx="12">
                  <c:v>38</c:v>
                </c:pt>
                <c:pt idx="13">
                  <c:v>30.56</c:v>
                </c:pt>
                <c:pt idx="14">
                  <c:v>34.565217391304351</c:v>
                </c:pt>
                <c:pt idx="15">
                  <c:v>32.902439024390247</c:v>
                </c:pt>
                <c:pt idx="16">
                  <c:v>33.451612903225808</c:v>
                </c:pt>
                <c:pt idx="17">
                  <c:v>36.117647058823529</c:v>
                </c:pt>
                <c:pt idx="18">
                  <c:v>36.322580645161288</c:v>
                </c:pt>
                <c:pt idx="19">
                  <c:v>32.806451612903224</c:v>
                </c:pt>
                <c:pt idx="20">
                  <c:v>37.704545454545453</c:v>
                </c:pt>
                <c:pt idx="21">
                  <c:v>36.534883720930232</c:v>
                </c:pt>
                <c:pt idx="22">
                  <c:v>35.303030303030305</c:v>
                </c:pt>
                <c:pt idx="23">
                  <c:v>41.535714285714285</c:v>
                </c:pt>
                <c:pt idx="24">
                  <c:v>38.147058823529413</c:v>
                </c:pt>
                <c:pt idx="25">
                  <c:v>37.166666666666664</c:v>
                </c:pt>
                <c:pt idx="26">
                  <c:v>33.629629629629626</c:v>
                </c:pt>
                <c:pt idx="27">
                  <c:v>33.130434782608695</c:v>
                </c:pt>
                <c:pt idx="28">
                  <c:v>36.085714285714289</c:v>
                </c:pt>
                <c:pt idx="29">
                  <c:v>33.512820512820511</c:v>
                </c:pt>
                <c:pt idx="30">
                  <c:v>33.733333333333334</c:v>
                </c:pt>
              </c:numCache>
            </c:numRef>
          </c:val>
          <c:extLst>
            <c:ext xmlns:c16="http://schemas.microsoft.com/office/drawing/2014/chart" uri="{C3380CC4-5D6E-409C-BE32-E72D297353CC}">
              <c16:uniqueId val="{00000000-DB0A-4601-9EFB-AA4C0F22C07C}"/>
            </c:ext>
          </c:extLst>
        </c:ser>
        <c:dLbls>
          <c:showLegendKey val="0"/>
          <c:showVal val="0"/>
          <c:showCatName val="0"/>
          <c:showSerName val="0"/>
          <c:showPercent val="0"/>
          <c:showBubbleSize val="0"/>
        </c:dLbls>
        <c:axId val="2130958192"/>
        <c:axId val="2130945232"/>
      </c:areaChart>
      <c:catAx>
        <c:axId val="2130958192"/>
        <c:scaling>
          <c:orientation val="minMax"/>
        </c:scaling>
        <c:delete val="1"/>
        <c:axPos val="b"/>
        <c:numFmt formatCode="General" sourceLinked="1"/>
        <c:majorTickMark val="out"/>
        <c:minorTickMark val="none"/>
        <c:tickLblPos val="nextTo"/>
        <c:crossAx val="2130945232"/>
        <c:crosses val="autoZero"/>
        <c:auto val="1"/>
        <c:lblAlgn val="ctr"/>
        <c:lblOffset val="100"/>
        <c:noMultiLvlLbl val="0"/>
      </c:catAx>
      <c:valAx>
        <c:axId val="2130945232"/>
        <c:scaling>
          <c:orientation val="minMax"/>
        </c:scaling>
        <c:delete val="1"/>
        <c:axPos val="l"/>
        <c:numFmt formatCode="0.00" sourceLinked="1"/>
        <c:majorTickMark val="none"/>
        <c:minorTickMark val="none"/>
        <c:tickLblPos val="nextTo"/>
        <c:crossAx val="2130958192"/>
        <c:crosses val="autoZero"/>
        <c:crossBetween val="midCat"/>
      </c:valAx>
      <c:spPr>
        <a:noFill/>
        <a:ln w="25400">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File Recording 2.xlsx]Pivot Report!PivotTable9</c:name>
    <c:fmtId val="23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24733988896549222"/>
          <c:w val="1"/>
          <c:h val="0.75044159802605326"/>
        </c:manualLayout>
      </c:layout>
      <c:areaChart>
        <c:grouping val="standard"/>
        <c:varyColors val="0"/>
        <c:ser>
          <c:idx val="0"/>
          <c:order val="0"/>
          <c:tx>
            <c:strRef>
              <c:f>'Pivot Report'!$K$27</c:f>
              <c:strCache>
                <c:ptCount val="1"/>
                <c:pt idx="0">
                  <c:v>Total</c:v>
                </c:pt>
              </c:strCache>
            </c:strRef>
          </c:tx>
          <c:spPr>
            <a:solidFill>
              <a:schemeClr val="accent1"/>
            </a:solidFill>
            <a:ln w="25400">
              <a:noFill/>
            </a:ln>
            <a:effectLst/>
          </c:spPr>
          <c:cat>
            <c:strRef>
              <c:f>'Pivot Report'!$J$28:$J$59</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Report'!$K$28:$K$59</c:f>
              <c:numCache>
                <c:formatCode>0.00</c:formatCode>
                <c:ptCount val="31"/>
                <c:pt idx="0">
                  <c:v>7.4</c:v>
                </c:pt>
                <c:pt idx="1">
                  <c:v>5.6</c:v>
                </c:pt>
                <c:pt idx="2">
                  <c:v>6.7142857142857144</c:v>
                </c:pt>
                <c:pt idx="3">
                  <c:v>6</c:v>
                </c:pt>
                <c:pt idx="4">
                  <c:v>4</c:v>
                </c:pt>
                <c:pt idx="5">
                  <c:v>4.7142857142857144</c:v>
                </c:pt>
                <c:pt idx="6">
                  <c:v>1.8</c:v>
                </c:pt>
                <c:pt idx="7">
                  <c:v>4.833333333333333</c:v>
                </c:pt>
                <c:pt idx="8">
                  <c:v>4.25</c:v>
                </c:pt>
                <c:pt idx="9">
                  <c:v>4.5999999999999996</c:v>
                </c:pt>
                <c:pt idx="10">
                  <c:v>6.5</c:v>
                </c:pt>
                <c:pt idx="11">
                  <c:v>5</c:v>
                </c:pt>
                <c:pt idx="12">
                  <c:v>6</c:v>
                </c:pt>
                <c:pt idx="13">
                  <c:v>4.7142857142857144</c:v>
                </c:pt>
                <c:pt idx="14">
                  <c:v>4.2</c:v>
                </c:pt>
                <c:pt idx="15">
                  <c:v>7.2</c:v>
                </c:pt>
                <c:pt idx="16">
                  <c:v>4.333333333333333</c:v>
                </c:pt>
                <c:pt idx="17">
                  <c:v>3.7777777777777777</c:v>
                </c:pt>
                <c:pt idx="18">
                  <c:v>3.6666666666666665</c:v>
                </c:pt>
                <c:pt idx="19">
                  <c:v>4</c:v>
                </c:pt>
                <c:pt idx="20">
                  <c:v>5.833333333333333</c:v>
                </c:pt>
                <c:pt idx="21">
                  <c:v>5.666666666666667</c:v>
                </c:pt>
                <c:pt idx="22">
                  <c:v>5.5</c:v>
                </c:pt>
                <c:pt idx="23">
                  <c:v>5.5</c:v>
                </c:pt>
                <c:pt idx="24">
                  <c:v>7</c:v>
                </c:pt>
                <c:pt idx="25">
                  <c:v>7</c:v>
                </c:pt>
                <c:pt idx="26">
                  <c:v>4</c:v>
                </c:pt>
                <c:pt idx="27">
                  <c:v>4.4444444444444446</c:v>
                </c:pt>
                <c:pt idx="28">
                  <c:v>4.8571428571428568</c:v>
                </c:pt>
                <c:pt idx="29">
                  <c:v>5.5714285714285712</c:v>
                </c:pt>
                <c:pt idx="30">
                  <c:v>6</c:v>
                </c:pt>
              </c:numCache>
            </c:numRef>
          </c:val>
          <c:extLst>
            <c:ext xmlns:c16="http://schemas.microsoft.com/office/drawing/2014/chart" uri="{C3380CC4-5D6E-409C-BE32-E72D297353CC}">
              <c16:uniqueId val="{00000000-1C03-447E-AE25-1C90F6DD79E5}"/>
            </c:ext>
          </c:extLst>
        </c:ser>
        <c:dLbls>
          <c:showLegendKey val="0"/>
          <c:showVal val="0"/>
          <c:showCatName val="0"/>
          <c:showSerName val="0"/>
          <c:showPercent val="0"/>
          <c:showBubbleSize val="0"/>
        </c:dLbls>
        <c:axId val="53554943"/>
        <c:axId val="53555903"/>
      </c:areaChart>
      <c:catAx>
        <c:axId val="53554943"/>
        <c:scaling>
          <c:orientation val="minMax"/>
        </c:scaling>
        <c:delete val="1"/>
        <c:axPos val="b"/>
        <c:numFmt formatCode="General" sourceLinked="1"/>
        <c:majorTickMark val="out"/>
        <c:minorTickMark val="none"/>
        <c:tickLblPos val="nextTo"/>
        <c:crossAx val="53555903"/>
        <c:crosses val="autoZero"/>
        <c:auto val="1"/>
        <c:lblAlgn val="ctr"/>
        <c:lblOffset val="100"/>
        <c:noMultiLvlLbl val="0"/>
      </c:catAx>
      <c:valAx>
        <c:axId val="53555903"/>
        <c:scaling>
          <c:orientation val="minMax"/>
        </c:scaling>
        <c:delete val="1"/>
        <c:axPos val="l"/>
        <c:numFmt formatCode="0.00" sourceLinked="1"/>
        <c:majorTickMark val="none"/>
        <c:minorTickMark val="none"/>
        <c:tickLblPos val="nextTo"/>
        <c:crossAx val="53554943"/>
        <c:crosses val="autoZero"/>
        <c:crossBetween val="midCat"/>
      </c:valAx>
      <c:spPr>
        <a:noFill/>
        <a:ln w="25400">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File Recording 2.xlsx]Pivot Report!PivotTable3</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345961406033705E-2"/>
          <c:y val="0"/>
          <c:w val="0.95707713301159958"/>
          <c:h val="0.72802037980546541"/>
        </c:manualLayout>
      </c:layout>
      <c:barChart>
        <c:barDir val="col"/>
        <c:grouping val="clustered"/>
        <c:varyColors val="0"/>
        <c:ser>
          <c:idx val="0"/>
          <c:order val="0"/>
          <c:tx>
            <c:strRef>
              <c:f>'Pivot Report'!$B$47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Report'!$A$48:$A$56</c:f>
              <c:strCache>
                <c:ptCount val="8"/>
                <c:pt idx="0">
                  <c:v>0-09</c:v>
                </c:pt>
                <c:pt idx="1">
                  <c:v>10-19</c:v>
                </c:pt>
                <c:pt idx="2">
                  <c:v>20-29</c:v>
                </c:pt>
                <c:pt idx="3">
                  <c:v>30-39</c:v>
                </c:pt>
                <c:pt idx="4">
                  <c:v>40-49</c:v>
                </c:pt>
                <c:pt idx="5">
                  <c:v>50-59</c:v>
                </c:pt>
                <c:pt idx="6">
                  <c:v>60-69</c:v>
                </c:pt>
                <c:pt idx="7">
                  <c:v>70-79</c:v>
                </c:pt>
              </c:strCache>
            </c:strRef>
          </c:cat>
          <c:val>
            <c:numRef>
              <c:f>'Pivot Report'!$B$48:$B$56</c:f>
              <c:numCache>
                <c:formatCode>0</c:formatCode>
                <c:ptCount val="8"/>
                <c:pt idx="0">
                  <c:v>73</c:v>
                </c:pt>
                <c:pt idx="1">
                  <c:v>64</c:v>
                </c:pt>
                <c:pt idx="2">
                  <c:v>74</c:v>
                </c:pt>
                <c:pt idx="3">
                  <c:v>71</c:v>
                </c:pt>
                <c:pt idx="4">
                  <c:v>58</c:v>
                </c:pt>
                <c:pt idx="5">
                  <c:v>68</c:v>
                </c:pt>
                <c:pt idx="6">
                  <c:v>62</c:v>
                </c:pt>
                <c:pt idx="7">
                  <c:v>49</c:v>
                </c:pt>
              </c:numCache>
            </c:numRef>
          </c:val>
          <c:extLst>
            <c:ext xmlns:c16="http://schemas.microsoft.com/office/drawing/2014/chart" uri="{C3380CC4-5D6E-409C-BE32-E72D297353CC}">
              <c16:uniqueId val="{00000001-4E47-458B-8C43-12B2240B2B9E}"/>
            </c:ext>
          </c:extLst>
        </c:ser>
        <c:dLbls>
          <c:showLegendKey val="0"/>
          <c:showVal val="0"/>
          <c:showCatName val="0"/>
          <c:showSerName val="0"/>
          <c:showPercent val="0"/>
          <c:showBubbleSize val="0"/>
        </c:dLbls>
        <c:gapWidth val="219"/>
        <c:overlap val="-27"/>
        <c:axId val="1778311760"/>
        <c:axId val="1778321840"/>
      </c:barChart>
      <c:catAx>
        <c:axId val="1778311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778321840"/>
        <c:crosses val="autoZero"/>
        <c:auto val="1"/>
        <c:lblAlgn val="ctr"/>
        <c:lblOffset val="100"/>
        <c:noMultiLvlLbl val="0"/>
      </c:catAx>
      <c:valAx>
        <c:axId val="1778321840"/>
        <c:scaling>
          <c:orientation val="minMax"/>
        </c:scaling>
        <c:delete val="1"/>
        <c:axPos val="l"/>
        <c:numFmt formatCode="0" sourceLinked="1"/>
        <c:majorTickMark val="none"/>
        <c:minorTickMark val="none"/>
        <c:tickLblPos val="nextTo"/>
        <c:crossAx val="17783117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File Recording 2.xlsx]Pivot Report!PivotTable4</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24243690202506119"/>
              <c:y val="-0.1510059375530591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2"/>
          </a:solidFill>
          <a:ln>
            <a:noFill/>
          </a:ln>
          <a:effectLst/>
        </c:spPr>
        <c:dLbl>
          <c:idx val="0"/>
          <c:layout>
            <c:manualLayout>
              <c:x val="0.24084134463465101"/>
              <c:y val="0.1617339107854988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4593112346446069"/>
          <c:y val="0.18237554495147493"/>
          <c:w val="0.76315986024099147"/>
          <c:h val="0.78544053535120584"/>
        </c:manualLayout>
      </c:layout>
      <c:pieChart>
        <c:varyColors val="1"/>
        <c:ser>
          <c:idx val="0"/>
          <c:order val="0"/>
          <c:tx>
            <c:strRef>
              <c:f>'Pivot Report'!$B$59</c:f>
              <c:strCache>
                <c:ptCount val="1"/>
                <c:pt idx="0">
                  <c:v>Total</c:v>
                </c:pt>
              </c:strCache>
            </c:strRef>
          </c:tx>
          <c:spPr>
            <a:effectLst/>
          </c:spPr>
          <c:dPt>
            <c:idx val="0"/>
            <c:bubble3D val="0"/>
            <c:spPr>
              <a:solidFill>
                <a:schemeClr val="accent1"/>
              </a:solidFill>
              <a:ln>
                <a:noFill/>
              </a:ln>
              <a:effectLst/>
            </c:spPr>
          </c:dPt>
          <c:dPt>
            <c:idx val="1"/>
            <c:bubble3D val="0"/>
            <c:spPr>
              <a:solidFill>
                <a:schemeClr val="accent2"/>
              </a:solidFill>
              <a:ln>
                <a:noFill/>
              </a:ln>
              <a:effectLst/>
            </c:spPr>
          </c:dPt>
          <c:dLbls>
            <c:dLbl>
              <c:idx val="0"/>
              <c:layout>
                <c:manualLayout>
                  <c:x val="-0.24243690202506119"/>
                  <c:y val="-0.15100593755305913"/>
                </c:manualLayout>
              </c:layout>
              <c:dLblPos val="bestFit"/>
              <c:showLegendKey val="0"/>
              <c:showVal val="0"/>
              <c:showCatName val="0"/>
              <c:showSerName val="0"/>
              <c:showPercent val="1"/>
              <c:showBubbleSize val="0"/>
              <c:extLst>
                <c:ext xmlns:c15="http://schemas.microsoft.com/office/drawing/2012/chart" uri="{CE6537A1-D6FC-4f65-9D91-7224C49458BB}"/>
              </c:extLst>
            </c:dLbl>
            <c:dLbl>
              <c:idx val="1"/>
              <c:layout>
                <c:manualLayout>
                  <c:x val="0.24084134463465101"/>
                  <c:y val="0.16173391078549881"/>
                </c:manualLayout>
              </c:layout>
              <c:dLblPos val="bestFit"/>
              <c:showLegendKey val="0"/>
              <c:showVal val="0"/>
              <c:showCatName val="0"/>
              <c:showSerName val="0"/>
              <c:showPercent val="1"/>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Report'!$A$60:$A$62</c:f>
              <c:strCache>
                <c:ptCount val="2"/>
                <c:pt idx="0">
                  <c:v>Delay</c:v>
                </c:pt>
                <c:pt idx="1">
                  <c:v>Ontime</c:v>
                </c:pt>
              </c:strCache>
            </c:strRef>
          </c:cat>
          <c:val>
            <c:numRef>
              <c:f>'Pivot Report'!$B$60:$B$62</c:f>
              <c:numCache>
                <c:formatCode>0</c:formatCode>
                <c:ptCount val="2"/>
                <c:pt idx="0">
                  <c:v>324</c:v>
                </c:pt>
                <c:pt idx="1">
                  <c:v>195</c:v>
                </c:pt>
              </c:numCache>
            </c:numRef>
          </c:val>
          <c:extLst>
            <c:ext xmlns:c16="http://schemas.microsoft.com/office/drawing/2014/chart" uri="{C3380CC4-5D6E-409C-BE32-E72D297353CC}">
              <c16:uniqueId val="{00000005-9300-40BC-BD55-F406DAC7B45E}"/>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4.9782375492763743E-2"/>
          <c:y val="3.9494514961484744E-3"/>
          <c:w val="0.8915062012519871"/>
          <c:h val="0.13608391809234674"/>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File Recording 2.xlsx]Pivot Report!PivotTable10</c:name>
    <c:fmtId val="23"/>
  </c:pivotSource>
  <c:chart>
    <c:autoTitleDeleted val="1"/>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7399682258189608"/>
          <c:y val="0.16005204460351558"/>
          <c:w val="0.66747066456480164"/>
          <c:h val="0.69962144172757501"/>
        </c:manualLayout>
      </c:layout>
      <c:doughnutChart>
        <c:varyColors val="1"/>
        <c:ser>
          <c:idx val="0"/>
          <c:order val="0"/>
          <c:tx>
            <c:strRef>
              <c:f>'Pivot Report'!$B$68</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Report'!$A$69:$A$71</c:f>
              <c:strCache>
                <c:ptCount val="2"/>
                <c:pt idx="0">
                  <c:v>Female</c:v>
                </c:pt>
                <c:pt idx="1">
                  <c:v>Male</c:v>
                </c:pt>
              </c:strCache>
            </c:strRef>
          </c:cat>
          <c:val>
            <c:numRef>
              <c:f>'Pivot Report'!$B$69:$B$71</c:f>
              <c:numCache>
                <c:formatCode>0</c:formatCode>
                <c:ptCount val="2"/>
                <c:pt idx="0">
                  <c:v>254</c:v>
                </c:pt>
                <c:pt idx="1">
                  <c:v>265</c:v>
                </c:pt>
              </c:numCache>
            </c:numRef>
          </c:val>
          <c:extLst>
            <c:ext xmlns:c16="http://schemas.microsoft.com/office/drawing/2014/chart" uri="{C3380CC4-5D6E-409C-BE32-E72D297353CC}">
              <c16:uniqueId val="{00000005-E4C0-4FA6-BDC4-A5F7F28816C7}"/>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1750232795626549"/>
          <c:y val="2.0603622603953237E-2"/>
          <c:w val="0.66306258134871776"/>
          <c:h val="0.12307819474293272"/>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File Recording 2.xlsx]Pivot Report!PivotTable12</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173328753697045"/>
          <c:y val="0.17699445865957106"/>
          <c:w val="0.68843100113401945"/>
          <c:h val="0.81182397392206251"/>
        </c:manualLayout>
      </c:layout>
      <c:barChart>
        <c:barDir val="bar"/>
        <c:grouping val="clustered"/>
        <c:varyColors val="0"/>
        <c:ser>
          <c:idx val="0"/>
          <c:order val="0"/>
          <c:tx>
            <c:strRef>
              <c:f>'Pivot Report'!$B$76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Report'!$A$77:$A$85</c:f>
              <c:strCache>
                <c:ptCount val="8"/>
                <c:pt idx="0">
                  <c:v>Renal</c:v>
                </c:pt>
                <c:pt idx="1">
                  <c:v>Gastroenterology</c:v>
                </c:pt>
                <c:pt idx="2">
                  <c:v>Cardiology</c:v>
                </c:pt>
                <c:pt idx="3">
                  <c:v>Physiotherapy</c:v>
                </c:pt>
                <c:pt idx="4">
                  <c:v>Neurology</c:v>
                </c:pt>
                <c:pt idx="5">
                  <c:v>Orthopedics</c:v>
                </c:pt>
                <c:pt idx="6">
                  <c:v>General Practice</c:v>
                </c:pt>
                <c:pt idx="7">
                  <c:v>None</c:v>
                </c:pt>
              </c:strCache>
            </c:strRef>
          </c:cat>
          <c:val>
            <c:numRef>
              <c:f>'Pivot Report'!$B$77:$B$85</c:f>
              <c:numCache>
                <c:formatCode>0</c:formatCode>
                <c:ptCount val="8"/>
                <c:pt idx="0">
                  <c:v>3</c:v>
                </c:pt>
                <c:pt idx="1">
                  <c:v>8</c:v>
                </c:pt>
                <c:pt idx="2">
                  <c:v>11</c:v>
                </c:pt>
                <c:pt idx="3">
                  <c:v>15</c:v>
                </c:pt>
                <c:pt idx="4">
                  <c:v>16</c:v>
                </c:pt>
                <c:pt idx="5">
                  <c:v>51</c:v>
                </c:pt>
                <c:pt idx="6">
                  <c:v>102</c:v>
                </c:pt>
                <c:pt idx="7">
                  <c:v>313</c:v>
                </c:pt>
              </c:numCache>
            </c:numRef>
          </c:val>
          <c:extLst>
            <c:ext xmlns:c16="http://schemas.microsoft.com/office/drawing/2014/chart" uri="{C3380CC4-5D6E-409C-BE32-E72D297353CC}">
              <c16:uniqueId val="{00000001-1BDA-440B-B3D3-1B8FA32F639B}"/>
            </c:ext>
          </c:extLst>
        </c:ser>
        <c:dLbls>
          <c:showLegendKey val="0"/>
          <c:showVal val="0"/>
          <c:showCatName val="0"/>
          <c:showSerName val="0"/>
          <c:showPercent val="0"/>
          <c:showBubbleSize val="0"/>
        </c:dLbls>
        <c:gapWidth val="182"/>
        <c:axId val="1914641152"/>
        <c:axId val="1914621472"/>
      </c:barChart>
      <c:catAx>
        <c:axId val="19146411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1914621472"/>
        <c:crosses val="autoZero"/>
        <c:auto val="1"/>
        <c:lblAlgn val="ctr"/>
        <c:lblOffset val="100"/>
        <c:noMultiLvlLbl val="0"/>
      </c:catAx>
      <c:valAx>
        <c:axId val="1914621472"/>
        <c:scaling>
          <c:orientation val="minMax"/>
        </c:scaling>
        <c:delete val="1"/>
        <c:axPos val="b"/>
        <c:numFmt formatCode="0" sourceLinked="1"/>
        <c:majorTickMark val="none"/>
        <c:minorTickMark val="none"/>
        <c:tickLblPos val="nextTo"/>
        <c:crossAx val="19146411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File Recording 2.xlsx]Pivot Report!PivotTable8</c:name>
    <c:fmtId val="22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6735594966517039E-2"/>
          <c:y val="2.0586972083035081E-2"/>
          <c:w val="0.983264405033483"/>
          <c:h val="0.97941302791696494"/>
        </c:manualLayout>
      </c:layout>
      <c:areaChart>
        <c:grouping val="standard"/>
        <c:varyColors val="0"/>
        <c:ser>
          <c:idx val="0"/>
          <c:order val="0"/>
          <c:tx>
            <c:strRef>
              <c:f>'Pivot Report'!$I$3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Report'!$H$4:$H$35</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Report'!$I$4:$I$35</c:f>
              <c:numCache>
                <c:formatCode>0.00</c:formatCode>
                <c:ptCount val="31"/>
                <c:pt idx="0">
                  <c:v>33.205882352941174</c:v>
                </c:pt>
                <c:pt idx="1">
                  <c:v>30.135135135135137</c:v>
                </c:pt>
                <c:pt idx="2">
                  <c:v>38.512195121951223</c:v>
                </c:pt>
                <c:pt idx="3">
                  <c:v>34.806451612903224</c:v>
                </c:pt>
                <c:pt idx="4">
                  <c:v>34.517241379310342</c:v>
                </c:pt>
                <c:pt idx="5">
                  <c:v>36.575757575757578</c:v>
                </c:pt>
                <c:pt idx="6">
                  <c:v>35.833333333333336</c:v>
                </c:pt>
                <c:pt idx="7">
                  <c:v>35.567567567567565</c:v>
                </c:pt>
                <c:pt idx="8">
                  <c:v>36.333333333333336</c:v>
                </c:pt>
                <c:pt idx="9">
                  <c:v>31.351351351351351</c:v>
                </c:pt>
                <c:pt idx="10">
                  <c:v>31.64516129032258</c:v>
                </c:pt>
                <c:pt idx="11">
                  <c:v>40.200000000000003</c:v>
                </c:pt>
                <c:pt idx="12">
                  <c:v>38</c:v>
                </c:pt>
                <c:pt idx="13">
                  <c:v>30.56</c:v>
                </c:pt>
                <c:pt idx="14">
                  <c:v>34.565217391304351</c:v>
                </c:pt>
                <c:pt idx="15">
                  <c:v>32.902439024390247</c:v>
                </c:pt>
                <c:pt idx="16">
                  <c:v>33.451612903225808</c:v>
                </c:pt>
                <c:pt idx="17">
                  <c:v>36.117647058823529</c:v>
                </c:pt>
                <c:pt idx="18">
                  <c:v>36.322580645161288</c:v>
                </c:pt>
                <c:pt idx="19">
                  <c:v>32.806451612903224</c:v>
                </c:pt>
                <c:pt idx="20">
                  <c:v>37.704545454545453</c:v>
                </c:pt>
                <c:pt idx="21">
                  <c:v>36.534883720930232</c:v>
                </c:pt>
                <c:pt idx="22">
                  <c:v>35.303030303030305</c:v>
                </c:pt>
                <c:pt idx="23">
                  <c:v>41.535714285714285</c:v>
                </c:pt>
                <c:pt idx="24">
                  <c:v>38.147058823529413</c:v>
                </c:pt>
                <c:pt idx="25">
                  <c:v>37.166666666666664</c:v>
                </c:pt>
                <c:pt idx="26">
                  <c:v>33.629629629629626</c:v>
                </c:pt>
                <c:pt idx="27">
                  <c:v>33.130434782608695</c:v>
                </c:pt>
                <c:pt idx="28">
                  <c:v>36.085714285714289</c:v>
                </c:pt>
                <c:pt idx="29">
                  <c:v>33.512820512820511</c:v>
                </c:pt>
                <c:pt idx="30">
                  <c:v>33.733333333333334</c:v>
                </c:pt>
              </c:numCache>
            </c:numRef>
          </c:val>
          <c:extLst>
            <c:ext xmlns:c16="http://schemas.microsoft.com/office/drawing/2014/chart" uri="{C3380CC4-5D6E-409C-BE32-E72D297353CC}">
              <c16:uniqueId val="{00000000-4534-4F5A-914B-AE39937BB15F}"/>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130958192"/>
        <c:axId val="2130945232"/>
      </c:areaChart>
      <c:catAx>
        <c:axId val="2130958192"/>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130945232"/>
        <c:crosses val="autoZero"/>
        <c:auto val="1"/>
        <c:lblAlgn val="ctr"/>
        <c:lblOffset val="100"/>
        <c:noMultiLvlLbl val="0"/>
      </c:catAx>
      <c:valAx>
        <c:axId val="2130945232"/>
        <c:scaling>
          <c:orientation val="minMax"/>
        </c:scaling>
        <c:delete val="1"/>
        <c:axPos val="l"/>
        <c:numFmt formatCode="0.00" sourceLinked="1"/>
        <c:majorTickMark val="out"/>
        <c:minorTickMark val="none"/>
        <c:tickLblPos val="nextTo"/>
        <c:crossAx val="2130958192"/>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File Recording 2.xlsx]Pivot Report!PivotTable7</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586305653486267E-2"/>
          <c:y val="4.3138838414428964E-3"/>
          <c:w val="0.9443865627310577"/>
          <c:h val="0.74571595217264497"/>
        </c:manualLayout>
      </c:layout>
      <c:areaChart>
        <c:grouping val="standard"/>
        <c:varyColors val="0"/>
        <c:ser>
          <c:idx val="0"/>
          <c:order val="0"/>
          <c:tx>
            <c:strRef>
              <c:f>'Pivot Report'!$E$4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Report'!$D$5:$D$36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Report'!$E$5:$E$36</c:f>
              <c:numCache>
                <c:formatCode>General</c:formatCode>
                <c:ptCount val="31"/>
                <c:pt idx="0">
                  <c:v>14</c:v>
                </c:pt>
                <c:pt idx="1">
                  <c:v>21</c:v>
                </c:pt>
                <c:pt idx="2">
                  <c:v>21</c:v>
                </c:pt>
                <c:pt idx="3">
                  <c:v>15</c:v>
                </c:pt>
                <c:pt idx="4">
                  <c:v>11</c:v>
                </c:pt>
                <c:pt idx="5">
                  <c:v>17</c:v>
                </c:pt>
                <c:pt idx="6">
                  <c:v>15</c:v>
                </c:pt>
                <c:pt idx="7">
                  <c:v>17</c:v>
                </c:pt>
                <c:pt idx="8">
                  <c:v>13</c:v>
                </c:pt>
                <c:pt idx="9">
                  <c:v>24</c:v>
                </c:pt>
                <c:pt idx="10">
                  <c:v>13</c:v>
                </c:pt>
                <c:pt idx="11">
                  <c:v>14</c:v>
                </c:pt>
                <c:pt idx="12">
                  <c:v>12</c:v>
                </c:pt>
                <c:pt idx="13">
                  <c:v>11</c:v>
                </c:pt>
                <c:pt idx="14">
                  <c:v>16</c:v>
                </c:pt>
                <c:pt idx="15">
                  <c:v>20</c:v>
                </c:pt>
                <c:pt idx="16">
                  <c:v>15</c:v>
                </c:pt>
                <c:pt idx="17">
                  <c:v>19</c:v>
                </c:pt>
                <c:pt idx="18">
                  <c:v>16</c:v>
                </c:pt>
                <c:pt idx="19">
                  <c:v>17</c:v>
                </c:pt>
                <c:pt idx="20">
                  <c:v>28</c:v>
                </c:pt>
                <c:pt idx="21">
                  <c:v>22</c:v>
                </c:pt>
                <c:pt idx="22">
                  <c:v>20</c:v>
                </c:pt>
                <c:pt idx="23">
                  <c:v>17</c:v>
                </c:pt>
                <c:pt idx="24">
                  <c:v>18</c:v>
                </c:pt>
                <c:pt idx="25">
                  <c:v>13</c:v>
                </c:pt>
                <c:pt idx="26">
                  <c:v>13</c:v>
                </c:pt>
                <c:pt idx="27">
                  <c:v>13</c:v>
                </c:pt>
                <c:pt idx="28">
                  <c:v>20</c:v>
                </c:pt>
                <c:pt idx="29">
                  <c:v>15</c:v>
                </c:pt>
                <c:pt idx="30">
                  <c:v>19</c:v>
                </c:pt>
              </c:numCache>
            </c:numRef>
          </c:val>
          <c:extLst>
            <c:ext xmlns:c16="http://schemas.microsoft.com/office/drawing/2014/chart" uri="{C3380CC4-5D6E-409C-BE32-E72D297353CC}">
              <c16:uniqueId val="{00000000-6784-41F7-BC6A-6B53D7C1D087}"/>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149437952"/>
        <c:axId val="1149438432"/>
      </c:areaChart>
      <c:catAx>
        <c:axId val="1149437952"/>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149438432"/>
        <c:crosses val="autoZero"/>
        <c:auto val="1"/>
        <c:lblAlgn val="ctr"/>
        <c:lblOffset val="100"/>
        <c:noMultiLvlLbl val="0"/>
      </c:catAx>
      <c:valAx>
        <c:axId val="1149438432"/>
        <c:scaling>
          <c:orientation val="minMax"/>
        </c:scaling>
        <c:delete val="1"/>
        <c:axPos val="l"/>
        <c:numFmt formatCode="General" sourceLinked="1"/>
        <c:majorTickMark val="out"/>
        <c:minorTickMark val="none"/>
        <c:tickLblPos val="nextTo"/>
        <c:crossAx val="1149437952"/>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File Recording 2.xlsx]Pivot Report!PivotTable9</c:name>
    <c:fmtId val="23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24733988896549222"/>
          <c:w val="1"/>
          <c:h val="0.75044159802605326"/>
        </c:manualLayout>
      </c:layout>
      <c:areaChart>
        <c:grouping val="standard"/>
        <c:varyColors val="0"/>
        <c:ser>
          <c:idx val="0"/>
          <c:order val="0"/>
          <c:tx>
            <c:strRef>
              <c:f>'Pivot Report'!$K$27</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Report'!$J$28:$J$59</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Report'!$K$28:$K$59</c:f>
              <c:numCache>
                <c:formatCode>0.00</c:formatCode>
                <c:ptCount val="31"/>
                <c:pt idx="0">
                  <c:v>7.4</c:v>
                </c:pt>
                <c:pt idx="1">
                  <c:v>5.6</c:v>
                </c:pt>
                <c:pt idx="2">
                  <c:v>6.7142857142857144</c:v>
                </c:pt>
                <c:pt idx="3">
                  <c:v>6</c:v>
                </c:pt>
                <c:pt idx="4">
                  <c:v>4</c:v>
                </c:pt>
                <c:pt idx="5">
                  <c:v>4.7142857142857144</c:v>
                </c:pt>
                <c:pt idx="6">
                  <c:v>1.8</c:v>
                </c:pt>
                <c:pt idx="7">
                  <c:v>4.833333333333333</c:v>
                </c:pt>
                <c:pt idx="8">
                  <c:v>4.25</c:v>
                </c:pt>
                <c:pt idx="9">
                  <c:v>4.5999999999999996</c:v>
                </c:pt>
                <c:pt idx="10">
                  <c:v>6.5</c:v>
                </c:pt>
                <c:pt idx="11">
                  <c:v>5</c:v>
                </c:pt>
                <c:pt idx="12">
                  <c:v>6</c:v>
                </c:pt>
                <c:pt idx="13">
                  <c:v>4.7142857142857144</c:v>
                </c:pt>
                <c:pt idx="14">
                  <c:v>4.2</c:v>
                </c:pt>
                <c:pt idx="15">
                  <c:v>7.2</c:v>
                </c:pt>
                <c:pt idx="16">
                  <c:v>4.333333333333333</c:v>
                </c:pt>
                <c:pt idx="17">
                  <c:v>3.7777777777777777</c:v>
                </c:pt>
                <c:pt idx="18">
                  <c:v>3.6666666666666665</c:v>
                </c:pt>
                <c:pt idx="19">
                  <c:v>4</c:v>
                </c:pt>
                <c:pt idx="20">
                  <c:v>5.833333333333333</c:v>
                </c:pt>
                <c:pt idx="21">
                  <c:v>5.666666666666667</c:v>
                </c:pt>
                <c:pt idx="22">
                  <c:v>5.5</c:v>
                </c:pt>
                <c:pt idx="23">
                  <c:v>5.5</c:v>
                </c:pt>
                <c:pt idx="24">
                  <c:v>7</c:v>
                </c:pt>
                <c:pt idx="25">
                  <c:v>7</c:v>
                </c:pt>
                <c:pt idx="26">
                  <c:v>4</c:v>
                </c:pt>
                <c:pt idx="27">
                  <c:v>4.4444444444444446</c:v>
                </c:pt>
                <c:pt idx="28">
                  <c:v>4.8571428571428568</c:v>
                </c:pt>
                <c:pt idx="29">
                  <c:v>5.5714285714285712</c:v>
                </c:pt>
                <c:pt idx="30">
                  <c:v>6</c:v>
                </c:pt>
              </c:numCache>
            </c:numRef>
          </c:val>
          <c:extLst>
            <c:ext xmlns:c16="http://schemas.microsoft.com/office/drawing/2014/chart" uri="{C3380CC4-5D6E-409C-BE32-E72D297353CC}">
              <c16:uniqueId val="{00000000-09C1-4C12-8D74-E35A4F510FB8}"/>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53554943"/>
        <c:axId val="53555903"/>
      </c:areaChart>
      <c:catAx>
        <c:axId val="53554943"/>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53555903"/>
        <c:crosses val="autoZero"/>
        <c:auto val="1"/>
        <c:lblAlgn val="ctr"/>
        <c:lblOffset val="100"/>
        <c:noMultiLvlLbl val="0"/>
      </c:catAx>
      <c:valAx>
        <c:axId val="53555903"/>
        <c:scaling>
          <c:orientation val="minMax"/>
        </c:scaling>
        <c:delete val="1"/>
        <c:axPos val="l"/>
        <c:numFmt formatCode="0.00" sourceLinked="1"/>
        <c:majorTickMark val="out"/>
        <c:minorTickMark val="none"/>
        <c:tickLblPos val="nextTo"/>
        <c:crossAx val="53554943"/>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No of patient'!A1"/><Relationship Id="rId13" Type="http://schemas.openxmlformats.org/officeDocument/2006/relationships/chart" Target="../charts/chart7.xml"/><Relationship Id="rId18" Type="http://schemas.openxmlformats.org/officeDocument/2006/relationships/chart" Target="../charts/chart11.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Satisfaction Score'!A1"/><Relationship Id="rId17" Type="http://schemas.openxmlformats.org/officeDocument/2006/relationships/chart" Target="../charts/chart10.xml"/><Relationship Id="rId2" Type="http://schemas.openxmlformats.org/officeDocument/2006/relationships/image" Target="../media/image2.png"/><Relationship Id="rId16" Type="http://schemas.openxmlformats.org/officeDocument/2006/relationships/chart" Target="../charts/chart9.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6.xml"/><Relationship Id="rId5" Type="http://schemas.openxmlformats.org/officeDocument/2006/relationships/image" Target="../media/image5.svg"/><Relationship Id="rId15" Type="http://schemas.openxmlformats.org/officeDocument/2006/relationships/chart" Target="../charts/chart8.xml"/><Relationship Id="rId10" Type="http://schemas.openxmlformats.org/officeDocument/2006/relationships/hyperlink" Target="#'Average Wait Time'!A1"/><Relationship Id="rId4" Type="http://schemas.openxmlformats.org/officeDocument/2006/relationships/image" Target="../media/image4.png"/><Relationship Id="rId9" Type="http://schemas.openxmlformats.org/officeDocument/2006/relationships/chart" Target="../charts/chart5.xml"/><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3.xml"/><Relationship Id="rId4" Type="http://schemas.openxmlformats.org/officeDocument/2006/relationships/image" Target="../media/image11.svg"/></Relationships>
</file>

<file path=xl/drawings/_rels/drawing6.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7.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2</xdr:col>
      <xdr:colOff>414592</xdr:colOff>
      <xdr:row>39</xdr:row>
      <xdr:rowOff>80961</xdr:rowOff>
    </xdr:from>
    <xdr:to>
      <xdr:col>4</xdr:col>
      <xdr:colOff>76106</xdr:colOff>
      <xdr:row>42</xdr:row>
      <xdr:rowOff>65473</xdr:rowOff>
    </xdr:to>
    <xdr:graphicFrame macro="">
      <xdr:nvGraphicFramePr>
        <xdr:cNvPr id="2" name="Chart 1">
          <a:extLst>
            <a:ext uri="{FF2B5EF4-FFF2-40B4-BE49-F238E27FC236}">
              <a16:creationId xmlns:a16="http://schemas.microsoft.com/office/drawing/2014/main" id="{A47FB3C3-0FE3-2C89-586C-583C01F11B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1935795</xdr:colOff>
      <xdr:row>50</xdr:row>
      <xdr:rowOff>7018</xdr:rowOff>
    </xdr:from>
    <xdr:to>
      <xdr:col>3</xdr:col>
      <xdr:colOff>1418009</xdr:colOff>
      <xdr:row>56</xdr:row>
      <xdr:rowOff>107425</xdr:rowOff>
    </xdr:to>
    <xdr:graphicFrame macro="">
      <xdr:nvGraphicFramePr>
        <xdr:cNvPr id="4" name="Chart 3">
          <a:extLst>
            <a:ext uri="{FF2B5EF4-FFF2-40B4-BE49-F238E27FC236}">
              <a16:creationId xmlns:a16="http://schemas.microsoft.com/office/drawing/2014/main" id="{39C11A45-05F8-8385-2EB2-770F677ACF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1391509</xdr:colOff>
      <xdr:row>62</xdr:row>
      <xdr:rowOff>171736</xdr:rowOff>
    </xdr:from>
    <xdr:to>
      <xdr:col>4</xdr:col>
      <xdr:colOff>1511108</xdr:colOff>
      <xdr:row>72</xdr:row>
      <xdr:rowOff>21484</xdr:rowOff>
    </xdr:to>
    <xdr:graphicFrame macro="">
      <xdr:nvGraphicFramePr>
        <xdr:cNvPr id="5" name="Chart 4">
          <a:extLst>
            <a:ext uri="{FF2B5EF4-FFF2-40B4-BE49-F238E27FC236}">
              <a16:creationId xmlns:a16="http://schemas.microsoft.com/office/drawing/2014/main" id="{5117C6B8-A43A-8ECC-3D27-1B511FB707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329435</xdr:colOff>
      <xdr:row>76</xdr:row>
      <xdr:rowOff>93101</xdr:rowOff>
    </xdr:from>
    <xdr:to>
      <xdr:col>3</xdr:col>
      <xdr:colOff>1537606</xdr:colOff>
      <xdr:row>85</xdr:row>
      <xdr:rowOff>172022</xdr:rowOff>
    </xdr:to>
    <xdr:graphicFrame macro="">
      <xdr:nvGraphicFramePr>
        <xdr:cNvPr id="6" name="Chart 5">
          <a:extLst>
            <a:ext uri="{FF2B5EF4-FFF2-40B4-BE49-F238E27FC236}">
              <a16:creationId xmlns:a16="http://schemas.microsoft.com/office/drawing/2014/main" id="{FE848B94-C894-9EE3-1C35-07E7E83407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310887</xdr:colOff>
      <xdr:row>83</xdr:row>
      <xdr:rowOff>57508</xdr:rowOff>
    </xdr:from>
    <xdr:to>
      <xdr:col>2</xdr:col>
      <xdr:colOff>120101</xdr:colOff>
      <xdr:row>97</xdr:row>
      <xdr:rowOff>17403</xdr:rowOff>
    </xdr:to>
    <mc:AlternateContent xmlns:mc="http://schemas.openxmlformats.org/markup-compatibility/2006">
      <mc:Choice xmlns:a14="http://schemas.microsoft.com/office/drawing/2010/main" Requires="a14">
        <xdr:graphicFrame macro="">
          <xdr:nvGraphicFramePr>
            <xdr:cNvPr id="7" name="Date (Year)">
              <a:extLst>
                <a:ext uri="{FF2B5EF4-FFF2-40B4-BE49-F238E27FC236}">
                  <a16:creationId xmlns:a16="http://schemas.microsoft.com/office/drawing/2014/main" id="{EC561424-74A6-6870-CC54-1D78DC20BF8C}"/>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2638425" y="161067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56606</xdr:colOff>
      <xdr:row>0</xdr:row>
      <xdr:rowOff>60960</xdr:rowOff>
    </xdr:from>
    <xdr:to>
      <xdr:col>5</xdr:col>
      <xdr:colOff>217714</xdr:colOff>
      <xdr:row>3</xdr:row>
      <xdr:rowOff>4354</xdr:rowOff>
    </xdr:to>
    <xdr:sp macro="" textlink="">
      <xdr:nvSpPr>
        <xdr:cNvPr id="2" name="Rectangle: Rounded Corners 1">
          <a:extLst>
            <a:ext uri="{FF2B5EF4-FFF2-40B4-BE49-F238E27FC236}">
              <a16:creationId xmlns:a16="http://schemas.microsoft.com/office/drawing/2014/main" id="{E67A7A7E-1CCC-4211-E1B9-F62077BF130B}"/>
            </a:ext>
          </a:extLst>
        </xdr:cNvPr>
        <xdr:cNvSpPr/>
      </xdr:nvSpPr>
      <xdr:spPr>
        <a:xfrm>
          <a:off x="56606" y="60960"/>
          <a:ext cx="3190058" cy="514894"/>
        </a:xfrm>
        <a:prstGeom prst="roundRect">
          <a:avLst>
            <a:gd name="adj" fmla="val 12242"/>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5</xdr:col>
      <xdr:colOff>274321</xdr:colOff>
      <xdr:row>0</xdr:row>
      <xdr:rowOff>60960</xdr:rowOff>
    </xdr:from>
    <xdr:to>
      <xdr:col>7</xdr:col>
      <xdr:colOff>34834</xdr:colOff>
      <xdr:row>3</xdr:row>
      <xdr:rowOff>4354</xdr:rowOff>
    </xdr:to>
    <xdr:sp macro="" textlink="">
      <xdr:nvSpPr>
        <xdr:cNvPr id="4" name="Rectangle: Rounded Corners 3">
          <a:extLst>
            <a:ext uri="{FF2B5EF4-FFF2-40B4-BE49-F238E27FC236}">
              <a16:creationId xmlns:a16="http://schemas.microsoft.com/office/drawing/2014/main" id="{A69C2A7F-B9B3-B131-3E77-EAEB1AC48090}"/>
            </a:ext>
          </a:extLst>
        </xdr:cNvPr>
        <xdr:cNvSpPr/>
      </xdr:nvSpPr>
      <xdr:spPr>
        <a:xfrm>
          <a:off x="3322321" y="60960"/>
          <a:ext cx="979713" cy="492034"/>
        </a:xfrm>
        <a:prstGeom prst="roundRect">
          <a:avLst>
            <a:gd name="adj" fmla="val 12242"/>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7</xdr:col>
      <xdr:colOff>91441</xdr:colOff>
      <xdr:row>0</xdr:row>
      <xdr:rowOff>60959</xdr:rowOff>
    </xdr:from>
    <xdr:to>
      <xdr:col>9</xdr:col>
      <xdr:colOff>143691</xdr:colOff>
      <xdr:row>6</xdr:row>
      <xdr:rowOff>143690</xdr:rowOff>
    </xdr:to>
    <xdr:sp macro="" textlink="">
      <xdr:nvSpPr>
        <xdr:cNvPr id="5" name="Rectangle: Rounded Corners 4">
          <a:extLst>
            <a:ext uri="{FF2B5EF4-FFF2-40B4-BE49-F238E27FC236}">
              <a16:creationId xmlns:a16="http://schemas.microsoft.com/office/drawing/2014/main" id="{D77F685F-214C-89F4-ABE3-E91F4E8AC7D7}"/>
            </a:ext>
          </a:extLst>
        </xdr:cNvPr>
        <xdr:cNvSpPr/>
      </xdr:nvSpPr>
      <xdr:spPr>
        <a:xfrm>
          <a:off x="4358641" y="60959"/>
          <a:ext cx="1271450" cy="1180011"/>
        </a:xfrm>
        <a:prstGeom prst="roundRect">
          <a:avLst>
            <a:gd name="adj" fmla="val 5969"/>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9</xdr:col>
      <xdr:colOff>204653</xdr:colOff>
      <xdr:row>0</xdr:row>
      <xdr:rowOff>60959</xdr:rowOff>
    </xdr:from>
    <xdr:to>
      <xdr:col>11</xdr:col>
      <xdr:colOff>256903</xdr:colOff>
      <xdr:row>6</xdr:row>
      <xdr:rowOff>143690</xdr:rowOff>
    </xdr:to>
    <xdr:sp macro="" textlink="">
      <xdr:nvSpPr>
        <xdr:cNvPr id="6" name="Rectangle: Rounded Corners 5">
          <a:extLst>
            <a:ext uri="{FF2B5EF4-FFF2-40B4-BE49-F238E27FC236}">
              <a16:creationId xmlns:a16="http://schemas.microsoft.com/office/drawing/2014/main" id="{DFA7170B-8A69-022F-0917-011419E5CFB6}"/>
            </a:ext>
          </a:extLst>
        </xdr:cNvPr>
        <xdr:cNvSpPr/>
      </xdr:nvSpPr>
      <xdr:spPr>
        <a:xfrm>
          <a:off x="5691053" y="60959"/>
          <a:ext cx="1271450" cy="1180011"/>
        </a:xfrm>
        <a:prstGeom prst="roundRect">
          <a:avLst>
            <a:gd name="adj" fmla="val 5969"/>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0</xdr:col>
      <xdr:colOff>56607</xdr:colOff>
      <xdr:row>3</xdr:row>
      <xdr:rowOff>60958</xdr:rowOff>
    </xdr:from>
    <xdr:to>
      <xdr:col>1</xdr:col>
      <xdr:colOff>126275</xdr:colOff>
      <xdr:row>15</xdr:row>
      <xdr:rowOff>95793</xdr:rowOff>
    </xdr:to>
    <xdr:sp macro="" textlink="">
      <xdr:nvSpPr>
        <xdr:cNvPr id="7" name="Rectangle: Rounded Corners 6">
          <a:extLst>
            <a:ext uri="{FF2B5EF4-FFF2-40B4-BE49-F238E27FC236}">
              <a16:creationId xmlns:a16="http://schemas.microsoft.com/office/drawing/2014/main" id="{BB7BA2C5-2B8B-D97C-C1A7-855AC3583642}"/>
            </a:ext>
          </a:extLst>
        </xdr:cNvPr>
        <xdr:cNvSpPr/>
      </xdr:nvSpPr>
      <xdr:spPr>
        <a:xfrm>
          <a:off x="56607" y="609598"/>
          <a:ext cx="679268" cy="2229395"/>
        </a:xfrm>
        <a:prstGeom prst="roundRect">
          <a:avLst>
            <a:gd name="adj" fmla="val 506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1</xdr:col>
      <xdr:colOff>182881</xdr:colOff>
      <xdr:row>3</xdr:row>
      <xdr:rowOff>60958</xdr:rowOff>
    </xdr:from>
    <xdr:to>
      <xdr:col>3</xdr:col>
      <xdr:colOff>87602</xdr:colOff>
      <xdr:row>7</xdr:row>
      <xdr:rowOff>60959</xdr:rowOff>
    </xdr:to>
    <xdr:sp macro="" textlink="">
      <xdr:nvSpPr>
        <xdr:cNvPr id="8" name="Rectangle: Rounded Corners 7">
          <a:extLst>
            <a:ext uri="{FF2B5EF4-FFF2-40B4-BE49-F238E27FC236}">
              <a16:creationId xmlns:a16="http://schemas.microsoft.com/office/drawing/2014/main" id="{D5563D2A-6447-F3BE-5486-3D19C4B1EEC7}"/>
            </a:ext>
          </a:extLst>
        </xdr:cNvPr>
        <xdr:cNvSpPr/>
      </xdr:nvSpPr>
      <xdr:spPr>
        <a:xfrm>
          <a:off x="792481" y="609598"/>
          <a:ext cx="1123921" cy="731521"/>
        </a:xfrm>
        <a:prstGeom prst="roundRect">
          <a:avLst>
            <a:gd name="adj" fmla="val 506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3</xdr:col>
      <xdr:colOff>154320</xdr:colOff>
      <xdr:row>3</xdr:row>
      <xdr:rowOff>60958</xdr:rowOff>
    </xdr:from>
    <xdr:to>
      <xdr:col>5</xdr:col>
      <xdr:colOff>59041</xdr:colOff>
      <xdr:row>7</xdr:row>
      <xdr:rowOff>60959</xdr:rowOff>
    </xdr:to>
    <xdr:sp macro="" textlink="">
      <xdr:nvSpPr>
        <xdr:cNvPr id="9" name="Rectangle: Rounded Corners 8">
          <a:extLst>
            <a:ext uri="{FF2B5EF4-FFF2-40B4-BE49-F238E27FC236}">
              <a16:creationId xmlns:a16="http://schemas.microsoft.com/office/drawing/2014/main" id="{CE569100-EAAB-FD25-B28A-DFB8F656B880}"/>
            </a:ext>
          </a:extLst>
        </xdr:cNvPr>
        <xdr:cNvSpPr/>
      </xdr:nvSpPr>
      <xdr:spPr>
        <a:xfrm>
          <a:off x="1983120" y="609598"/>
          <a:ext cx="1123921" cy="731521"/>
        </a:xfrm>
        <a:prstGeom prst="roundRect">
          <a:avLst>
            <a:gd name="adj" fmla="val 506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5</xdr:col>
      <xdr:colOff>125759</xdr:colOff>
      <xdr:row>3</xdr:row>
      <xdr:rowOff>60958</xdr:rowOff>
    </xdr:from>
    <xdr:to>
      <xdr:col>7</xdr:col>
      <xdr:colOff>30480</xdr:colOff>
      <xdr:row>7</xdr:row>
      <xdr:rowOff>60959</xdr:rowOff>
    </xdr:to>
    <xdr:sp macro="" textlink="">
      <xdr:nvSpPr>
        <xdr:cNvPr id="10" name="Rectangle: Rounded Corners 9">
          <a:extLst>
            <a:ext uri="{FF2B5EF4-FFF2-40B4-BE49-F238E27FC236}">
              <a16:creationId xmlns:a16="http://schemas.microsoft.com/office/drawing/2014/main" id="{B1271AC1-A90B-A608-C667-D00144989A18}"/>
            </a:ext>
          </a:extLst>
        </xdr:cNvPr>
        <xdr:cNvSpPr/>
      </xdr:nvSpPr>
      <xdr:spPr>
        <a:xfrm>
          <a:off x="3173759" y="609598"/>
          <a:ext cx="1123921" cy="731521"/>
        </a:xfrm>
        <a:prstGeom prst="roundRect">
          <a:avLst>
            <a:gd name="adj" fmla="val 506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1</xdr:col>
      <xdr:colOff>195945</xdr:colOff>
      <xdr:row>10</xdr:row>
      <xdr:rowOff>17417</xdr:rowOff>
    </xdr:from>
    <xdr:to>
      <xdr:col>7</xdr:col>
      <xdr:colOff>52253</xdr:colOff>
      <xdr:row>15</xdr:row>
      <xdr:rowOff>91440</xdr:rowOff>
    </xdr:to>
    <xdr:sp macro="" textlink="">
      <xdr:nvSpPr>
        <xdr:cNvPr id="22" name="Rectangle: Rounded Corners 21">
          <a:extLst>
            <a:ext uri="{FF2B5EF4-FFF2-40B4-BE49-F238E27FC236}">
              <a16:creationId xmlns:a16="http://schemas.microsoft.com/office/drawing/2014/main" id="{34FA7E21-2B18-30EA-34DC-D7A3BCEE5A92}"/>
            </a:ext>
          </a:extLst>
        </xdr:cNvPr>
        <xdr:cNvSpPr/>
      </xdr:nvSpPr>
      <xdr:spPr>
        <a:xfrm>
          <a:off x="805545" y="1846217"/>
          <a:ext cx="3513908" cy="988423"/>
        </a:xfrm>
        <a:prstGeom prst="roundRect">
          <a:avLst>
            <a:gd name="adj" fmla="val 506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1</xdr:col>
      <xdr:colOff>182881</xdr:colOff>
      <xdr:row>7</xdr:row>
      <xdr:rowOff>108857</xdr:rowOff>
    </xdr:from>
    <xdr:to>
      <xdr:col>7</xdr:col>
      <xdr:colOff>34834</xdr:colOff>
      <xdr:row>9</xdr:row>
      <xdr:rowOff>152400</xdr:rowOff>
    </xdr:to>
    <xdr:sp macro="" textlink="">
      <xdr:nvSpPr>
        <xdr:cNvPr id="23" name="Rectangle: Rounded Corners 22">
          <a:extLst>
            <a:ext uri="{FF2B5EF4-FFF2-40B4-BE49-F238E27FC236}">
              <a16:creationId xmlns:a16="http://schemas.microsoft.com/office/drawing/2014/main" id="{BC7BB21A-6B66-AB5D-A72A-736E439E6935}"/>
            </a:ext>
          </a:extLst>
        </xdr:cNvPr>
        <xdr:cNvSpPr/>
      </xdr:nvSpPr>
      <xdr:spPr>
        <a:xfrm>
          <a:off x="792481" y="1389017"/>
          <a:ext cx="3509553" cy="409303"/>
        </a:xfrm>
        <a:prstGeom prst="roundRect">
          <a:avLst>
            <a:gd name="adj" fmla="val 506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xdr:from>
      <xdr:col>0</xdr:col>
      <xdr:colOff>78377</xdr:colOff>
      <xdr:row>15</xdr:row>
      <xdr:rowOff>95793</xdr:rowOff>
    </xdr:from>
    <xdr:to>
      <xdr:col>9</xdr:col>
      <xdr:colOff>213360</xdr:colOff>
      <xdr:row>15</xdr:row>
      <xdr:rowOff>95793</xdr:rowOff>
    </xdr:to>
    <xdr:cxnSp macro="">
      <xdr:nvCxnSpPr>
        <xdr:cNvPr id="25" name="Straight Connector 24">
          <a:extLst>
            <a:ext uri="{FF2B5EF4-FFF2-40B4-BE49-F238E27FC236}">
              <a16:creationId xmlns:a16="http://schemas.microsoft.com/office/drawing/2014/main" id="{D6986440-16B3-DCE6-6FA3-9AE7612E1197}"/>
            </a:ext>
          </a:extLst>
        </xdr:cNvPr>
        <xdr:cNvCxnSpPr/>
      </xdr:nvCxnSpPr>
      <xdr:spPr>
        <a:xfrm>
          <a:off x="78377" y="2838993"/>
          <a:ext cx="5621383"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269965</xdr:colOff>
      <xdr:row>1</xdr:row>
      <xdr:rowOff>8708</xdr:rowOff>
    </xdr:from>
    <xdr:to>
      <xdr:col>11</xdr:col>
      <xdr:colOff>287383</xdr:colOff>
      <xdr:row>16</xdr:row>
      <xdr:rowOff>8708</xdr:rowOff>
    </xdr:to>
    <xdr:cxnSp macro="">
      <xdr:nvCxnSpPr>
        <xdr:cNvPr id="27" name="Straight Connector 26">
          <a:extLst>
            <a:ext uri="{FF2B5EF4-FFF2-40B4-BE49-F238E27FC236}">
              <a16:creationId xmlns:a16="http://schemas.microsoft.com/office/drawing/2014/main" id="{DE371AF4-5E9C-4852-C0AB-EDF4105F2014}"/>
            </a:ext>
          </a:extLst>
        </xdr:cNvPr>
        <xdr:cNvCxnSpPr/>
      </xdr:nvCxnSpPr>
      <xdr:spPr>
        <a:xfrm>
          <a:off x="6975565" y="191588"/>
          <a:ext cx="17418" cy="274320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editAs="absolute">
    <xdr:from>
      <xdr:col>7</xdr:col>
      <xdr:colOff>100149</xdr:colOff>
      <xdr:row>7</xdr:row>
      <xdr:rowOff>13063</xdr:rowOff>
    </xdr:from>
    <xdr:to>
      <xdr:col>11</xdr:col>
      <xdr:colOff>256903</xdr:colOff>
      <xdr:row>15</xdr:row>
      <xdr:rowOff>74023</xdr:rowOff>
    </xdr:to>
    <xdr:sp macro="" textlink="">
      <xdr:nvSpPr>
        <xdr:cNvPr id="29" name="Rectangle: Rounded Corners 28">
          <a:extLst>
            <a:ext uri="{FF2B5EF4-FFF2-40B4-BE49-F238E27FC236}">
              <a16:creationId xmlns:a16="http://schemas.microsoft.com/office/drawing/2014/main" id="{E3A8C7E6-25DB-5B34-5980-192EB3F0CF70}"/>
            </a:ext>
          </a:extLst>
        </xdr:cNvPr>
        <xdr:cNvSpPr/>
      </xdr:nvSpPr>
      <xdr:spPr>
        <a:xfrm>
          <a:off x="4325601" y="1360749"/>
          <a:ext cx="2588669" cy="1601173"/>
        </a:xfrm>
        <a:prstGeom prst="roundRect">
          <a:avLst>
            <a:gd name="adj" fmla="val 5969"/>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1</xdr:col>
      <xdr:colOff>69668</xdr:colOff>
      <xdr:row>0</xdr:row>
      <xdr:rowOff>117565</xdr:rowOff>
    </xdr:from>
    <xdr:to>
      <xdr:col>5</xdr:col>
      <xdr:colOff>165463</xdr:colOff>
      <xdr:row>1</xdr:row>
      <xdr:rowOff>182879</xdr:rowOff>
    </xdr:to>
    <xdr:sp macro="" textlink="">
      <xdr:nvSpPr>
        <xdr:cNvPr id="30" name="TextBox 29">
          <a:extLst>
            <a:ext uri="{FF2B5EF4-FFF2-40B4-BE49-F238E27FC236}">
              <a16:creationId xmlns:a16="http://schemas.microsoft.com/office/drawing/2014/main" id="{257D23DA-9CFF-3152-17CE-20C316E25F38}"/>
            </a:ext>
          </a:extLst>
        </xdr:cNvPr>
        <xdr:cNvSpPr txBox="1"/>
      </xdr:nvSpPr>
      <xdr:spPr>
        <a:xfrm>
          <a:off x="679268" y="117565"/>
          <a:ext cx="2534195" cy="2481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kern="1200"/>
            <a:t>Hospital</a:t>
          </a:r>
          <a:r>
            <a:rPr lang="en-IN" sz="1200" kern="1200" baseline="0"/>
            <a:t> Emergency Room Dashboard</a:t>
          </a:r>
          <a:endParaRPr lang="en-IN" sz="1200" kern="1200"/>
        </a:p>
      </xdr:txBody>
    </xdr:sp>
    <xdr:clientData/>
  </xdr:twoCellAnchor>
  <xdr:twoCellAnchor editAs="oneCell">
    <xdr:from>
      <xdr:col>0</xdr:col>
      <xdr:colOff>34833</xdr:colOff>
      <xdr:row>0</xdr:row>
      <xdr:rowOff>14402</xdr:rowOff>
    </xdr:from>
    <xdr:to>
      <xdr:col>1</xdr:col>
      <xdr:colOff>100149</xdr:colOff>
      <xdr:row>3</xdr:row>
      <xdr:rowOff>4356</xdr:rowOff>
    </xdr:to>
    <xdr:pic>
      <xdr:nvPicPr>
        <xdr:cNvPr id="32" name="Picture 31" descr="A blue hospital building with a cross&#10;&#10;AI-generated content may be incorrect.">
          <a:extLst>
            <a:ext uri="{FF2B5EF4-FFF2-40B4-BE49-F238E27FC236}">
              <a16:creationId xmlns:a16="http://schemas.microsoft.com/office/drawing/2014/main" id="{1D19A282-B0FF-C91B-0F2C-951002EFACE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9500" t="1" r="18000" b="10169"/>
        <a:stretch/>
      </xdr:blipFill>
      <xdr:spPr>
        <a:xfrm>
          <a:off x="34833" y="14402"/>
          <a:ext cx="674916" cy="538594"/>
        </a:xfrm>
        <a:prstGeom prst="rect">
          <a:avLst/>
        </a:prstGeom>
      </xdr:spPr>
    </xdr:pic>
    <xdr:clientData/>
  </xdr:twoCellAnchor>
  <xdr:twoCellAnchor editAs="absolute">
    <xdr:from>
      <xdr:col>2</xdr:col>
      <xdr:colOff>113211</xdr:colOff>
      <xdr:row>1</xdr:row>
      <xdr:rowOff>143691</xdr:rowOff>
    </xdr:from>
    <xdr:to>
      <xdr:col>3</xdr:col>
      <xdr:colOff>496388</xdr:colOff>
      <xdr:row>2</xdr:row>
      <xdr:rowOff>108857</xdr:rowOff>
    </xdr:to>
    <xdr:sp macro="" textlink="">
      <xdr:nvSpPr>
        <xdr:cNvPr id="33" name="TextBox 32">
          <a:extLst>
            <a:ext uri="{FF2B5EF4-FFF2-40B4-BE49-F238E27FC236}">
              <a16:creationId xmlns:a16="http://schemas.microsoft.com/office/drawing/2014/main" id="{5B90EC51-60ED-E6B0-73D6-C734C9407487}"/>
            </a:ext>
          </a:extLst>
        </xdr:cNvPr>
        <xdr:cNvSpPr txBox="1"/>
      </xdr:nvSpPr>
      <xdr:spPr>
        <a:xfrm>
          <a:off x="1332411" y="326571"/>
          <a:ext cx="992777" cy="148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kern="1200"/>
            <a:t>Monthly</a:t>
          </a:r>
          <a:r>
            <a:rPr lang="en-IN" sz="900" kern="1200" baseline="0"/>
            <a:t> Report</a:t>
          </a:r>
          <a:endParaRPr lang="en-IN" sz="900" kern="1200"/>
        </a:p>
      </xdr:txBody>
    </xdr:sp>
    <xdr:clientData/>
  </xdr:twoCellAnchor>
  <xdr:twoCellAnchor editAs="absolute">
    <xdr:from>
      <xdr:col>1</xdr:col>
      <xdr:colOff>174171</xdr:colOff>
      <xdr:row>4</xdr:row>
      <xdr:rowOff>139339</xdr:rowOff>
    </xdr:from>
    <xdr:to>
      <xdr:col>3</xdr:col>
      <xdr:colOff>87086</xdr:colOff>
      <xdr:row>5</xdr:row>
      <xdr:rowOff>104505</xdr:rowOff>
    </xdr:to>
    <xdr:sp macro="" textlink="">
      <xdr:nvSpPr>
        <xdr:cNvPr id="34" name="TextBox 33">
          <a:extLst>
            <a:ext uri="{FF2B5EF4-FFF2-40B4-BE49-F238E27FC236}">
              <a16:creationId xmlns:a16="http://schemas.microsoft.com/office/drawing/2014/main" id="{9F740260-D36A-EDE7-0D62-FFE8F5186843}"/>
            </a:ext>
          </a:extLst>
        </xdr:cNvPr>
        <xdr:cNvSpPr txBox="1"/>
      </xdr:nvSpPr>
      <xdr:spPr>
        <a:xfrm>
          <a:off x="783771" y="870859"/>
          <a:ext cx="1132115" cy="148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kern="1200"/>
            <a:t>No. of Patient</a:t>
          </a:r>
        </a:p>
      </xdr:txBody>
    </xdr:sp>
    <xdr:clientData/>
  </xdr:twoCellAnchor>
  <xdr:twoCellAnchor editAs="absolute">
    <xdr:from>
      <xdr:col>1</xdr:col>
      <xdr:colOff>174171</xdr:colOff>
      <xdr:row>3</xdr:row>
      <xdr:rowOff>156756</xdr:rowOff>
    </xdr:from>
    <xdr:to>
      <xdr:col>3</xdr:col>
      <xdr:colOff>87086</xdr:colOff>
      <xdr:row>4</xdr:row>
      <xdr:rowOff>121922</xdr:rowOff>
    </xdr:to>
    <xdr:sp macro="" textlink="'Pivot Report'!A5">
      <xdr:nvSpPr>
        <xdr:cNvPr id="36" name="TextBox 35">
          <a:extLst>
            <a:ext uri="{FF2B5EF4-FFF2-40B4-BE49-F238E27FC236}">
              <a16:creationId xmlns:a16="http://schemas.microsoft.com/office/drawing/2014/main" id="{DF34BBB7-5778-972B-97C2-5F2DBE652477}"/>
            </a:ext>
          </a:extLst>
        </xdr:cNvPr>
        <xdr:cNvSpPr txBox="1"/>
      </xdr:nvSpPr>
      <xdr:spPr>
        <a:xfrm>
          <a:off x="783771" y="705396"/>
          <a:ext cx="1132115" cy="148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4515856D-C13D-42F6-97C6-1AA19F5B5351}" type="TxLink">
            <a:rPr lang="en-US" sz="1100" b="0" i="0" u="none" strike="noStrike" kern="1200">
              <a:solidFill>
                <a:srgbClr val="000000"/>
              </a:solidFill>
              <a:latin typeface="Aptos Narrow"/>
            </a:rPr>
            <a:pPr algn="ctr"/>
            <a:t>519</a:t>
          </a:fld>
          <a:endParaRPr lang="en-IN" sz="900" kern="1200"/>
        </a:p>
      </xdr:txBody>
    </xdr:sp>
    <xdr:clientData/>
  </xdr:twoCellAnchor>
  <xdr:twoCellAnchor editAs="absolute">
    <xdr:from>
      <xdr:col>3</xdr:col>
      <xdr:colOff>148046</xdr:colOff>
      <xdr:row>4</xdr:row>
      <xdr:rowOff>139339</xdr:rowOff>
    </xdr:from>
    <xdr:to>
      <xdr:col>5</xdr:col>
      <xdr:colOff>60961</xdr:colOff>
      <xdr:row>5</xdr:row>
      <xdr:rowOff>104505</xdr:rowOff>
    </xdr:to>
    <xdr:sp macro="" textlink="">
      <xdr:nvSpPr>
        <xdr:cNvPr id="37" name="TextBox 36">
          <a:extLst>
            <a:ext uri="{FF2B5EF4-FFF2-40B4-BE49-F238E27FC236}">
              <a16:creationId xmlns:a16="http://schemas.microsoft.com/office/drawing/2014/main" id="{03431B69-353E-32C9-C5C2-7EAF898A16C4}"/>
            </a:ext>
          </a:extLst>
        </xdr:cNvPr>
        <xdr:cNvSpPr txBox="1"/>
      </xdr:nvSpPr>
      <xdr:spPr>
        <a:xfrm>
          <a:off x="1976846" y="870859"/>
          <a:ext cx="1132115" cy="148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kern="1200"/>
            <a:t>Average Wait Time</a:t>
          </a:r>
        </a:p>
      </xdr:txBody>
    </xdr:sp>
    <xdr:clientData/>
  </xdr:twoCellAnchor>
  <xdr:twoCellAnchor editAs="absolute">
    <xdr:from>
      <xdr:col>3</xdr:col>
      <xdr:colOff>148046</xdr:colOff>
      <xdr:row>3</xdr:row>
      <xdr:rowOff>156756</xdr:rowOff>
    </xdr:from>
    <xdr:to>
      <xdr:col>5</xdr:col>
      <xdr:colOff>60961</xdr:colOff>
      <xdr:row>4</xdr:row>
      <xdr:rowOff>121922</xdr:rowOff>
    </xdr:to>
    <xdr:sp macro="" textlink="'Pivot Report'!A9">
      <xdr:nvSpPr>
        <xdr:cNvPr id="38" name="TextBox 37">
          <a:extLst>
            <a:ext uri="{FF2B5EF4-FFF2-40B4-BE49-F238E27FC236}">
              <a16:creationId xmlns:a16="http://schemas.microsoft.com/office/drawing/2014/main" id="{2587E25C-2C0E-0A80-94BC-CEC8D9C89F96}"/>
            </a:ext>
          </a:extLst>
        </xdr:cNvPr>
        <xdr:cNvSpPr txBox="1"/>
      </xdr:nvSpPr>
      <xdr:spPr>
        <a:xfrm>
          <a:off x="1976846" y="728256"/>
          <a:ext cx="1113065" cy="1556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2FDF5C98-7B7C-4602-95A9-D008DD62AABF}" type="TxLink">
            <a:rPr lang="en-US" sz="1100" b="0" i="0" u="none" strike="noStrike" kern="1200">
              <a:solidFill>
                <a:srgbClr val="000000"/>
              </a:solidFill>
              <a:latin typeface="Aptos Narrow"/>
            </a:rPr>
            <a:pPr algn="ctr"/>
            <a:t>35.81</a:t>
          </a:fld>
          <a:endParaRPr lang="en-IN" sz="900" kern="1200"/>
        </a:p>
      </xdr:txBody>
    </xdr:sp>
    <xdr:clientData/>
  </xdr:twoCellAnchor>
  <xdr:twoCellAnchor editAs="absolute">
    <xdr:from>
      <xdr:col>5</xdr:col>
      <xdr:colOff>121921</xdr:colOff>
      <xdr:row>4</xdr:row>
      <xdr:rowOff>139339</xdr:rowOff>
    </xdr:from>
    <xdr:to>
      <xdr:col>7</xdr:col>
      <xdr:colOff>34836</xdr:colOff>
      <xdr:row>5</xdr:row>
      <xdr:rowOff>104505</xdr:rowOff>
    </xdr:to>
    <xdr:sp macro="" textlink="">
      <xdr:nvSpPr>
        <xdr:cNvPr id="39" name="TextBox 38">
          <a:extLst>
            <a:ext uri="{FF2B5EF4-FFF2-40B4-BE49-F238E27FC236}">
              <a16:creationId xmlns:a16="http://schemas.microsoft.com/office/drawing/2014/main" id="{21900A3A-6DB8-10F8-E135-D5987D9D90B8}"/>
            </a:ext>
          </a:extLst>
        </xdr:cNvPr>
        <xdr:cNvSpPr txBox="1"/>
      </xdr:nvSpPr>
      <xdr:spPr>
        <a:xfrm>
          <a:off x="3169921" y="870859"/>
          <a:ext cx="1132115" cy="148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kern="1200"/>
            <a:t>Patient Satisfaction</a:t>
          </a:r>
          <a:r>
            <a:rPr lang="en-IN" sz="800" kern="1200" baseline="0"/>
            <a:t> Score</a:t>
          </a:r>
          <a:endParaRPr lang="en-IN" sz="800" kern="1200"/>
        </a:p>
      </xdr:txBody>
    </xdr:sp>
    <xdr:clientData/>
  </xdr:twoCellAnchor>
  <xdr:twoCellAnchor editAs="absolute">
    <xdr:from>
      <xdr:col>5</xdr:col>
      <xdr:colOff>121921</xdr:colOff>
      <xdr:row>3</xdr:row>
      <xdr:rowOff>156756</xdr:rowOff>
    </xdr:from>
    <xdr:to>
      <xdr:col>7</xdr:col>
      <xdr:colOff>34836</xdr:colOff>
      <xdr:row>4</xdr:row>
      <xdr:rowOff>121922</xdr:rowOff>
    </xdr:to>
    <xdr:sp macro="" textlink="'Pivot Report'!A12">
      <xdr:nvSpPr>
        <xdr:cNvPr id="40" name="TextBox 39">
          <a:extLst>
            <a:ext uri="{FF2B5EF4-FFF2-40B4-BE49-F238E27FC236}">
              <a16:creationId xmlns:a16="http://schemas.microsoft.com/office/drawing/2014/main" id="{1C3BA6C6-B61B-7EDF-96D9-EB8A03E391F3}"/>
            </a:ext>
          </a:extLst>
        </xdr:cNvPr>
        <xdr:cNvSpPr txBox="1"/>
      </xdr:nvSpPr>
      <xdr:spPr>
        <a:xfrm>
          <a:off x="3169921" y="705396"/>
          <a:ext cx="1132115" cy="148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5F3AE061-D6A0-4B5C-8101-4A1FCEF8F55A}" type="TxLink">
            <a:rPr lang="en-US" sz="1100" b="0" i="0" u="none" strike="noStrike" kern="1200">
              <a:solidFill>
                <a:srgbClr val="000000"/>
              </a:solidFill>
              <a:latin typeface="Aptos Narrow"/>
            </a:rPr>
            <a:pPr algn="ctr"/>
            <a:t>5.15</a:t>
          </a:fld>
          <a:endParaRPr lang="en-IN" sz="900" kern="1200"/>
        </a:p>
      </xdr:txBody>
    </xdr:sp>
    <xdr:clientData/>
  </xdr:twoCellAnchor>
  <xdr:twoCellAnchor editAs="oneCell">
    <xdr:from>
      <xdr:col>2</xdr:col>
      <xdr:colOff>461555</xdr:colOff>
      <xdr:row>3</xdr:row>
      <xdr:rowOff>69671</xdr:rowOff>
    </xdr:from>
    <xdr:to>
      <xdr:col>3</xdr:col>
      <xdr:colOff>65313</xdr:colOff>
      <xdr:row>4</xdr:row>
      <xdr:rowOff>100149</xdr:rowOff>
    </xdr:to>
    <xdr:pic>
      <xdr:nvPicPr>
        <xdr:cNvPr id="42" name="Graphic 41" descr="Male profile with solid fill">
          <a:extLst>
            <a:ext uri="{FF2B5EF4-FFF2-40B4-BE49-F238E27FC236}">
              <a16:creationId xmlns:a16="http://schemas.microsoft.com/office/drawing/2014/main" id="{B206A68F-720D-240B-94C8-68E0B6F2CEA7}"/>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680755" y="618311"/>
          <a:ext cx="213358" cy="213358"/>
        </a:xfrm>
        <a:prstGeom prst="rect">
          <a:avLst/>
        </a:prstGeom>
      </xdr:spPr>
    </xdr:pic>
    <xdr:clientData/>
  </xdr:twoCellAnchor>
  <xdr:twoCellAnchor editAs="oneCell">
    <xdr:from>
      <xdr:col>4</xdr:col>
      <xdr:colOff>478972</xdr:colOff>
      <xdr:row>3</xdr:row>
      <xdr:rowOff>82730</xdr:rowOff>
    </xdr:from>
    <xdr:to>
      <xdr:col>5</xdr:col>
      <xdr:colOff>52251</xdr:colOff>
      <xdr:row>4</xdr:row>
      <xdr:rowOff>82729</xdr:rowOff>
    </xdr:to>
    <xdr:pic>
      <xdr:nvPicPr>
        <xdr:cNvPr id="44" name="Graphic 43" descr="Hourglass Full with solid fill">
          <a:extLst>
            <a:ext uri="{FF2B5EF4-FFF2-40B4-BE49-F238E27FC236}">
              <a16:creationId xmlns:a16="http://schemas.microsoft.com/office/drawing/2014/main" id="{021717BE-B691-5CC1-2B79-B30400F55A5B}"/>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917372" y="631370"/>
          <a:ext cx="182879" cy="182879"/>
        </a:xfrm>
        <a:prstGeom prst="rect">
          <a:avLst/>
        </a:prstGeom>
      </xdr:spPr>
    </xdr:pic>
    <xdr:clientData/>
  </xdr:twoCellAnchor>
  <xdr:twoCellAnchor editAs="oneCell">
    <xdr:from>
      <xdr:col>6</xdr:col>
      <xdr:colOff>391886</xdr:colOff>
      <xdr:row>3</xdr:row>
      <xdr:rowOff>77930</xdr:rowOff>
    </xdr:from>
    <xdr:to>
      <xdr:col>7</xdr:col>
      <xdr:colOff>13063</xdr:colOff>
      <xdr:row>4</xdr:row>
      <xdr:rowOff>125827</xdr:rowOff>
    </xdr:to>
    <xdr:pic>
      <xdr:nvPicPr>
        <xdr:cNvPr id="46" name="Graphic 45" descr="Rating with solid fill">
          <a:extLst>
            <a:ext uri="{FF2B5EF4-FFF2-40B4-BE49-F238E27FC236}">
              <a16:creationId xmlns:a16="http://schemas.microsoft.com/office/drawing/2014/main" id="{308E21DB-796A-7FFD-BFC6-88E3C3D88B08}"/>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049486" y="626570"/>
          <a:ext cx="230777" cy="230777"/>
        </a:xfrm>
        <a:prstGeom prst="rect">
          <a:avLst/>
        </a:prstGeom>
      </xdr:spPr>
    </xdr:pic>
    <xdr:clientData/>
  </xdr:twoCellAnchor>
  <xdr:twoCellAnchor editAs="oneCell">
    <xdr:from>
      <xdr:col>0</xdr:col>
      <xdr:colOff>87086</xdr:colOff>
      <xdr:row>3</xdr:row>
      <xdr:rowOff>82731</xdr:rowOff>
    </xdr:from>
    <xdr:to>
      <xdr:col>1</xdr:col>
      <xdr:colOff>100148</xdr:colOff>
      <xdr:row>15</xdr:row>
      <xdr:rowOff>69669</xdr:rowOff>
    </xdr:to>
    <mc:AlternateContent xmlns:mc="http://schemas.openxmlformats.org/markup-compatibility/2006" xmlns:a14="http://schemas.microsoft.com/office/drawing/2010/main">
      <mc:Choice Requires="a14">
        <xdr:graphicFrame macro="">
          <xdr:nvGraphicFramePr>
            <xdr:cNvPr id="47" name="Date (Month)">
              <a:extLst>
                <a:ext uri="{FF2B5EF4-FFF2-40B4-BE49-F238E27FC236}">
                  <a16:creationId xmlns:a16="http://schemas.microsoft.com/office/drawing/2014/main" id="{74AAD308-D3C2-4526-947B-D6E47E216952}"/>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87086" y="631371"/>
              <a:ext cx="622662" cy="21814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177799</xdr:colOff>
      <xdr:row>4</xdr:row>
      <xdr:rowOff>0</xdr:rowOff>
    </xdr:from>
    <xdr:to>
      <xdr:col>3</xdr:col>
      <xdr:colOff>87086</xdr:colOff>
      <xdr:row>7</xdr:row>
      <xdr:rowOff>76199</xdr:rowOff>
    </xdr:to>
    <xdr:graphicFrame macro="">
      <xdr:nvGraphicFramePr>
        <xdr:cNvPr id="49" name="Chart 48">
          <a:hlinkClick xmlns:r="http://schemas.openxmlformats.org/officeDocument/2006/relationships" r:id="rId8"/>
          <a:extLst>
            <a:ext uri="{FF2B5EF4-FFF2-40B4-BE49-F238E27FC236}">
              <a16:creationId xmlns:a16="http://schemas.microsoft.com/office/drawing/2014/main" id="{C862FBE8-4FA4-1B06-F9E3-FF6D8C1422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3</xdr:col>
      <xdr:colOff>146957</xdr:colOff>
      <xdr:row>4</xdr:row>
      <xdr:rowOff>139339</xdr:rowOff>
    </xdr:from>
    <xdr:to>
      <xdr:col>5</xdr:col>
      <xdr:colOff>76201</xdr:colOff>
      <xdr:row>5</xdr:row>
      <xdr:rowOff>104505</xdr:rowOff>
    </xdr:to>
    <xdr:sp macro="" textlink="">
      <xdr:nvSpPr>
        <xdr:cNvPr id="3" name="TextBox 2">
          <a:extLst>
            <a:ext uri="{FF2B5EF4-FFF2-40B4-BE49-F238E27FC236}">
              <a16:creationId xmlns:a16="http://schemas.microsoft.com/office/drawing/2014/main" id="{F07717A0-DC86-8D76-EF11-A30818DB7AFB}"/>
            </a:ext>
          </a:extLst>
        </xdr:cNvPr>
        <xdr:cNvSpPr txBox="1"/>
      </xdr:nvSpPr>
      <xdr:spPr>
        <a:xfrm>
          <a:off x="1975757" y="901339"/>
          <a:ext cx="1129394" cy="1556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endParaRPr lang="en-IN" sz="800" kern="1200"/>
        </a:p>
      </xdr:txBody>
    </xdr:sp>
    <xdr:clientData/>
  </xdr:twoCellAnchor>
  <xdr:twoCellAnchor editAs="absolute">
    <xdr:from>
      <xdr:col>5</xdr:col>
      <xdr:colOff>136072</xdr:colOff>
      <xdr:row>4</xdr:row>
      <xdr:rowOff>139339</xdr:rowOff>
    </xdr:from>
    <xdr:to>
      <xdr:col>7</xdr:col>
      <xdr:colOff>65315</xdr:colOff>
      <xdr:row>5</xdr:row>
      <xdr:rowOff>104505</xdr:rowOff>
    </xdr:to>
    <xdr:sp macro="" textlink="">
      <xdr:nvSpPr>
        <xdr:cNvPr id="12" name="TextBox 11">
          <a:extLst>
            <a:ext uri="{FF2B5EF4-FFF2-40B4-BE49-F238E27FC236}">
              <a16:creationId xmlns:a16="http://schemas.microsoft.com/office/drawing/2014/main" id="{5555959C-37EF-740A-5FED-08CF074C52E5}"/>
            </a:ext>
          </a:extLst>
        </xdr:cNvPr>
        <xdr:cNvSpPr txBox="1"/>
      </xdr:nvSpPr>
      <xdr:spPr>
        <a:xfrm>
          <a:off x="3167743" y="901339"/>
          <a:ext cx="1132115" cy="1556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endParaRPr lang="en-IN" sz="800" kern="1200"/>
        </a:p>
      </xdr:txBody>
    </xdr:sp>
    <xdr:clientData/>
  </xdr:twoCellAnchor>
  <xdr:twoCellAnchor>
    <xdr:from>
      <xdr:col>3</xdr:col>
      <xdr:colOff>139700</xdr:colOff>
      <xdr:row>5</xdr:row>
      <xdr:rowOff>146050</xdr:rowOff>
    </xdr:from>
    <xdr:to>
      <xdr:col>5</xdr:col>
      <xdr:colOff>44450</xdr:colOff>
      <xdr:row>7</xdr:row>
      <xdr:rowOff>63500</xdr:rowOff>
    </xdr:to>
    <xdr:graphicFrame macro="">
      <xdr:nvGraphicFramePr>
        <xdr:cNvPr id="14" name="Chart 13">
          <a:hlinkClick xmlns:r="http://schemas.openxmlformats.org/officeDocument/2006/relationships" r:id="rId10"/>
          <a:extLst>
            <a:ext uri="{FF2B5EF4-FFF2-40B4-BE49-F238E27FC236}">
              <a16:creationId xmlns:a16="http://schemas.microsoft.com/office/drawing/2014/main" id="{6AE114C7-C133-4CE4-9BD1-292B6F771F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152400</xdr:colOff>
      <xdr:row>4</xdr:row>
      <xdr:rowOff>184150</xdr:rowOff>
    </xdr:from>
    <xdr:to>
      <xdr:col>7</xdr:col>
      <xdr:colOff>25400</xdr:colOff>
      <xdr:row>7</xdr:row>
      <xdr:rowOff>76200</xdr:rowOff>
    </xdr:to>
    <xdr:graphicFrame macro="">
      <xdr:nvGraphicFramePr>
        <xdr:cNvPr id="15" name="Chart 14">
          <a:hlinkClick xmlns:r="http://schemas.openxmlformats.org/officeDocument/2006/relationships" r:id="rId12"/>
          <a:extLst>
            <a:ext uri="{FF2B5EF4-FFF2-40B4-BE49-F238E27FC236}">
              <a16:creationId xmlns:a16="http://schemas.microsoft.com/office/drawing/2014/main" id="{4F8C350C-C6C2-4317-8C54-20C5FEEF82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177800</xdr:colOff>
          <xdr:row>7</xdr:row>
          <xdr:rowOff>120651</xdr:rowOff>
        </xdr:from>
        <xdr:to>
          <xdr:col>7</xdr:col>
          <xdr:colOff>31750</xdr:colOff>
          <xdr:row>9</xdr:row>
          <xdr:rowOff>146051</xdr:rowOff>
        </xdr:to>
        <xdr:pic>
          <xdr:nvPicPr>
            <xdr:cNvPr id="19" name="Picture 18">
              <a:extLst>
                <a:ext uri="{FF2B5EF4-FFF2-40B4-BE49-F238E27FC236}">
                  <a16:creationId xmlns:a16="http://schemas.microsoft.com/office/drawing/2014/main" id="{5CBB4438-18E8-F50B-59AD-3934E5CF6DB0}"/>
                </a:ext>
              </a:extLst>
            </xdr:cNvPr>
            <xdr:cNvPicPr>
              <a:picLocks noChangeAspect="1" noChangeArrowheads="1"/>
              <a:extLst>
                <a:ext uri="{84589F7E-364E-4C9E-8A38-B11213B215E9}">
                  <a14:cameraTool cellRange="'Pivot Report'!$A$40:$D$42" spid="_x0000_s1038"/>
                </a:ext>
              </a:extLst>
            </xdr:cNvPicPr>
          </xdr:nvPicPr>
          <xdr:blipFill>
            <a:blip xmlns:r="http://schemas.openxmlformats.org/officeDocument/2006/relationships" r:embed="rId14"/>
            <a:srcRect/>
            <a:stretch>
              <a:fillRect/>
            </a:stretch>
          </xdr:blipFill>
          <xdr:spPr bwMode="auto">
            <a:xfrm>
              <a:off x="787400" y="1454151"/>
              <a:ext cx="3473450" cy="40640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xdr:col>
      <xdr:colOff>100695</xdr:colOff>
      <xdr:row>10</xdr:row>
      <xdr:rowOff>25400</xdr:rowOff>
    </xdr:from>
    <xdr:to>
      <xdr:col>7</xdr:col>
      <xdr:colOff>31750</xdr:colOff>
      <xdr:row>14</xdr:row>
      <xdr:rowOff>139700</xdr:rowOff>
    </xdr:to>
    <xdr:graphicFrame macro="">
      <xdr:nvGraphicFramePr>
        <xdr:cNvPr id="20" name="Chart 19">
          <a:extLst>
            <a:ext uri="{FF2B5EF4-FFF2-40B4-BE49-F238E27FC236}">
              <a16:creationId xmlns:a16="http://schemas.microsoft.com/office/drawing/2014/main" id="{4736234C-096A-4739-A176-6C62C83177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3</xdr:col>
      <xdr:colOff>31750</xdr:colOff>
      <xdr:row>14</xdr:row>
      <xdr:rowOff>127000</xdr:rowOff>
    </xdr:from>
    <xdr:to>
      <xdr:col>4</xdr:col>
      <xdr:colOff>551544</xdr:colOff>
      <xdr:row>15</xdr:row>
      <xdr:rowOff>92166</xdr:rowOff>
    </xdr:to>
    <xdr:sp macro="" textlink="">
      <xdr:nvSpPr>
        <xdr:cNvPr id="24" name="TextBox 23">
          <a:extLst>
            <a:ext uri="{FF2B5EF4-FFF2-40B4-BE49-F238E27FC236}">
              <a16:creationId xmlns:a16="http://schemas.microsoft.com/office/drawing/2014/main" id="{8D1C5176-C76B-4058-B24E-EEAF38D5479B}"/>
            </a:ext>
          </a:extLst>
        </xdr:cNvPr>
        <xdr:cNvSpPr txBox="1"/>
      </xdr:nvSpPr>
      <xdr:spPr>
        <a:xfrm>
          <a:off x="1860550" y="2794000"/>
          <a:ext cx="1129394" cy="1556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kern="1200"/>
            <a:t>No.of Patient by Age Group</a:t>
          </a:r>
        </a:p>
      </xdr:txBody>
    </xdr:sp>
    <xdr:clientData/>
  </xdr:twoCellAnchor>
  <xdr:twoCellAnchor>
    <xdr:from>
      <xdr:col>7</xdr:col>
      <xdr:colOff>115117</xdr:colOff>
      <xdr:row>0</xdr:row>
      <xdr:rowOff>68037</xdr:rowOff>
    </xdr:from>
    <xdr:to>
      <xdr:col>9</xdr:col>
      <xdr:colOff>108858</xdr:colOff>
      <xdr:row>5</xdr:row>
      <xdr:rowOff>163286</xdr:rowOff>
    </xdr:to>
    <xdr:graphicFrame macro="">
      <xdr:nvGraphicFramePr>
        <xdr:cNvPr id="28" name="Chart 27">
          <a:extLst>
            <a:ext uri="{FF2B5EF4-FFF2-40B4-BE49-F238E27FC236}">
              <a16:creationId xmlns:a16="http://schemas.microsoft.com/office/drawing/2014/main" id="{DC554255-1A0A-4689-9D8C-E093B842A4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7</xdr:col>
      <xdr:colOff>577697</xdr:colOff>
      <xdr:row>14</xdr:row>
      <xdr:rowOff>97150</xdr:rowOff>
    </xdr:from>
    <xdr:to>
      <xdr:col>10</xdr:col>
      <xdr:colOff>471184</xdr:colOff>
      <xdr:row>15</xdr:row>
      <xdr:rowOff>62316</xdr:rowOff>
    </xdr:to>
    <xdr:sp macro="" textlink="">
      <xdr:nvSpPr>
        <xdr:cNvPr id="35" name="TextBox 34">
          <a:extLst>
            <a:ext uri="{FF2B5EF4-FFF2-40B4-BE49-F238E27FC236}">
              <a16:creationId xmlns:a16="http://schemas.microsoft.com/office/drawing/2014/main" id="{CFA81C76-E81B-88E5-F2B8-33326B0783BD}"/>
            </a:ext>
          </a:extLst>
        </xdr:cNvPr>
        <xdr:cNvSpPr txBox="1"/>
      </xdr:nvSpPr>
      <xdr:spPr>
        <a:xfrm>
          <a:off x="4803149" y="2792522"/>
          <a:ext cx="1717423" cy="157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kern="1200"/>
            <a:t>No. of Patient by Department Referal</a:t>
          </a:r>
        </a:p>
      </xdr:txBody>
    </xdr:sp>
    <xdr:clientData/>
  </xdr:twoCellAnchor>
  <xdr:twoCellAnchor>
    <xdr:from>
      <xdr:col>9</xdr:col>
      <xdr:colOff>220982</xdr:colOff>
      <xdr:row>0</xdr:row>
      <xdr:rowOff>60960</xdr:rowOff>
    </xdr:from>
    <xdr:to>
      <xdr:col>11</xdr:col>
      <xdr:colOff>251732</xdr:colOff>
      <xdr:row>6</xdr:row>
      <xdr:rowOff>115662</xdr:rowOff>
    </xdr:to>
    <xdr:graphicFrame macro="">
      <xdr:nvGraphicFramePr>
        <xdr:cNvPr id="45" name="Chart 44">
          <a:extLst>
            <a:ext uri="{FF2B5EF4-FFF2-40B4-BE49-F238E27FC236}">
              <a16:creationId xmlns:a16="http://schemas.microsoft.com/office/drawing/2014/main" id="{C0182849-7CBA-48CC-92A0-35F1B83410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9</xdr:col>
      <xdr:colOff>272690</xdr:colOff>
      <xdr:row>6</xdr:row>
      <xdr:rowOff>9227</xdr:rowOff>
    </xdr:from>
    <xdr:to>
      <xdr:col>11</xdr:col>
      <xdr:colOff>180163</xdr:colOff>
      <xdr:row>6</xdr:row>
      <xdr:rowOff>164893</xdr:rowOff>
    </xdr:to>
    <xdr:sp macro="" textlink="">
      <xdr:nvSpPr>
        <xdr:cNvPr id="50" name="TextBox 49">
          <a:extLst>
            <a:ext uri="{FF2B5EF4-FFF2-40B4-BE49-F238E27FC236}">
              <a16:creationId xmlns:a16="http://schemas.microsoft.com/office/drawing/2014/main" id="{4C741F61-B8E5-1263-5033-FE0EBE560325}"/>
            </a:ext>
          </a:extLst>
        </xdr:cNvPr>
        <xdr:cNvSpPr txBox="1"/>
      </xdr:nvSpPr>
      <xdr:spPr>
        <a:xfrm>
          <a:off x="5724931" y="1163488"/>
          <a:ext cx="1127424" cy="1556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kern="1200"/>
            <a:t>Gender wise</a:t>
          </a:r>
          <a:r>
            <a:rPr lang="en-IN" sz="800" kern="1200" baseline="0"/>
            <a:t> Analysis</a:t>
          </a:r>
          <a:endParaRPr lang="en-IN" sz="800" kern="1200"/>
        </a:p>
      </xdr:txBody>
    </xdr:sp>
    <xdr:clientData/>
  </xdr:twoCellAnchor>
  <xdr:twoCellAnchor>
    <xdr:from>
      <xdr:col>7</xdr:col>
      <xdr:colOff>136523</xdr:colOff>
      <xdr:row>6</xdr:row>
      <xdr:rowOff>51586</xdr:rowOff>
    </xdr:from>
    <xdr:to>
      <xdr:col>11</xdr:col>
      <xdr:colOff>248583</xdr:colOff>
      <xdr:row>14</xdr:row>
      <xdr:rowOff>25599</xdr:rowOff>
    </xdr:to>
    <xdr:graphicFrame macro="">
      <xdr:nvGraphicFramePr>
        <xdr:cNvPr id="51" name="Chart 50">
          <a:extLst>
            <a:ext uri="{FF2B5EF4-FFF2-40B4-BE49-F238E27FC236}">
              <a16:creationId xmlns:a16="http://schemas.microsoft.com/office/drawing/2014/main" id="{62DC78DC-FF5A-4E69-9C07-00D369977B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5</xdr:col>
      <xdr:colOff>296302</xdr:colOff>
      <xdr:row>0</xdr:row>
      <xdr:rowOff>109904</xdr:rowOff>
    </xdr:from>
    <xdr:to>
      <xdr:col>6</xdr:col>
      <xdr:colOff>586154</xdr:colOff>
      <xdr:row>2</xdr:row>
      <xdr:rowOff>139212</xdr:rowOff>
    </xdr:to>
    <mc:AlternateContent xmlns:mc="http://schemas.openxmlformats.org/markup-compatibility/2006">
      <mc:Choice xmlns:a14="http://schemas.microsoft.com/office/drawing/2010/main" Requires="a14">
        <xdr:graphicFrame macro="">
          <xdr:nvGraphicFramePr>
            <xdr:cNvPr id="52" name="Date (Year) 1">
              <a:extLst>
                <a:ext uri="{FF2B5EF4-FFF2-40B4-BE49-F238E27FC236}">
                  <a16:creationId xmlns:a16="http://schemas.microsoft.com/office/drawing/2014/main" id="{A8357D0D-4E24-456A-A3D7-0813B0D53663}"/>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dr:sp macro="" textlink="">
          <xdr:nvSpPr>
            <xdr:cNvPr id="0" name=""/>
            <xdr:cNvSpPr>
              <a:spLocks noTextEdit="1"/>
            </xdr:cNvSpPr>
          </xdr:nvSpPr>
          <xdr:spPr>
            <a:xfrm>
              <a:off x="3322321" y="109904"/>
              <a:ext cx="897987" cy="4103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276224</xdr:colOff>
      <xdr:row>20</xdr:row>
      <xdr:rowOff>180975</xdr:rowOff>
    </xdr:to>
    <xdr:graphicFrame macro="">
      <xdr:nvGraphicFramePr>
        <xdr:cNvPr id="2" name="Chart 1">
          <a:extLst>
            <a:ext uri="{FF2B5EF4-FFF2-40B4-BE49-F238E27FC236}">
              <a16:creationId xmlns:a16="http://schemas.microsoft.com/office/drawing/2014/main" id="{B155CCE2-BC06-4979-95F6-44E157FD46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0.01222</cdr:x>
      <cdr:y>0.01193</cdr:y>
    </cdr:from>
    <cdr:to>
      <cdr:x>0.06188</cdr:x>
      <cdr:y>0.16706</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F4D42427-E7D9-6056-E213-0EDE382997F6}"/>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152400" y="47625"/>
          <a:ext cx="619125" cy="619125"/>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0</xdr:col>
      <xdr:colOff>0</xdr:colOff>
      <xdr:row>0</xdr:row>
      <xdr:rowOff>123824</xdr:rowOff>
    </xdr:from>
    <xdr:to>
      <xdr:col>13</xdr:col>
      <xdr:colOff>452438</xdr:colOff>
      <xdr:row>14</xdr:row>
      <xdr:rowOff>14288</xdr:rowOff>
    </xdr:to>
    <xdr:graphicFrame macro="">
      <xdr:nvGraphicFramePr>
        <xdr:cNvPr id="2" name="Chart 1">
          <a:extLst>
            <a:ext uri="{FF2B5EF4-FFF2-40B4-BE49-F238E27FC236}">
              <a16:creationId xmlns:a16="http://schemas.microsoft.com/office/drawing/2014/main" id="{AAEE8FEB-0DE1-4333-B7E6-BAEAC1EE75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83344</xdr:colOff>
      <xdr:row>0</xdr:row>
      <xdr:rowOff>178594</xdr:rowOff>
    </xdr:from>
    <xdr:to>
      <xdr:col>0</xdr:col>
      <xdr:colOff>428625</xdr:colOff>
      <xdr:row>2</xdr:row>
      <xdr:rowOff>142875</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9CB54E16-B8BE-87FB-DEFD-1B68A514F6C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83344" y="178594"/>
          <a:ext cx="345281" cy="34528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133350</xdr:colOff>
      <xdr:row>0</xdr:row>
      <xdr:rowOff>171451</xdr:rowOff>
    </xdr:from>
    <xdr:to>
      <xdr:col>19</xdr:col>
      <xdr:colOff>485775</xdr:colOff>
      <xdr:row>20</xdr:row>
      <xdr:rowOff>133351</xdr:rowOff>
    </xdr:to>
    <xdr:graphicFrame macro="">
      <xdr:nvGraphicFramePr>
        <xdr:cNvPr id="4" name="Chart 3">
          <a:extLst>
            <a:ext uri="{FF2B5EF4-FFF2-40B4-BE49-F238E27FC236}">
              <a16:creationId xmlns:a16="http://schemas.microsoft.com/office/drawing/2014/main" id="{8890733C-19AE-4533-870F-5BF96EE784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0.01357</cdr:x>
      <cdr:y>0.04798</cdr:y>
    </cdr:from>
    <cdr:to>
      <cdr:x>0.06864</cdr:x>
      <cdr:y>0.22222</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83973A50-1B83-EC4E-E209-E1C8B3EEBB1F}"/>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161925" y="180975"/>
          <a:ext cx="657225" cy="657225"/>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61.417505902777" createdVersion="5" refreshedVersion="8" minRefreshableVersion="3" recordCount="0" supportSubquery="1" supportAdvancedDrill="1" xr:uid="{95AC6C11-972D-4A1C-84DF-64437728687B}">
  <cacheSource type="external" connectionId="3"/>
  <cacheFields count="4">
    <cacheField name="[Measures].[Distinct Count of Patient Id]" caption="Distinct Count of Patient Id" numFmtId="0" hierarchy="23" level="32767"/>
    <cacheField name="[Calendar_Table].[Date (Day)].[Date (Day)]" caption="Dat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61.417506018515" createdVersion="5" refreshedVersion="8" minRefreshableVersion="3" recordCount="0" supportSubquery="1" supportAdvancedDrill="1" xr:uid="{0AA6E62F-DC73-4878-988E-2A361726DF0D}">
  <cacheSource type="external" connectionId="3"/>
  <cacheFields count="3">
    <cacheField name="[Measures].[Distinct Count of Patient Id]" caption="Distinct Count of Patient Id" numFmtId="0" hierarchy="23"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61.417506018515" createdVersion="5" refreshedVersion="8" minRefreshableVersion="3" recordCount="0" supportSubquery="1" supportAdvancedDrill="1" xr:uid="{7F9536EE-73C4-4E62-98F5-A2E60FAF89A7}">
  <cacheSource type="external" connectionId="3"/>
  <cacheFields count="3">
    <cacheField name="[Measures].[Average of Patient Waittime]" caption="Average of Patient Waittime" numFmtId="0" hierarchy="25"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61.41750625" createdVersion="5" refreshedVersion="8" minRefreshableVersion="3" recordCount="0" supportSubquery="1" supportAdvancedDrill="1" xr:uid="{8AEE3370-BC49-40A2-8687-67DADA00FBD7}">
  <cacheSource type="external" connectionId="3"/>
  <cacheFields count="3">
    <cacheField name="[Measures].[Average of Patient Satisfaction Score]" caption="Average of Patient Satisfaction Score" numFmtId="0" hierarchy="27"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61.4175068287" createdVersion="5" refreshedVersion="8" minRefreshableVersion="3" recordCount="0" supportSubquery="1" supportAdvancedDrill="1" xr:uid="{0676AEFF-0705-403C-80A4-E6DCD2146FE3}">
  <cacheSource type="external" connectionId="3"/>
  <cacheFields count="3">
    <cacheField name="[Calendar_Table].[Date (Day)].[Date (Day)]" caption="Dat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5" level="32767"/>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61.41750729167" createdVersion="5" refreshedVersion="8" minRefreshableVersion="3" recordCount="0" supportSubquery="1" supportAdvancedDrill="1" xr:uid="{FF530617-FF5F-4011-B805-23A69F353DA7}">
  <cacheSource type="external" connectionId="3"/>
  <cacheFields count="4">
    <cacheField name="[Calendar_Table].[Date (Day)].[Date (Day)]" caption="Dat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7" level="32767"/>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61.41750787037" createdVersion="5" refreshedVersion="8" minRefreshableVersion="3" recordCount="0" supportSubquery="1" supportAdvancedDrill="1" xr:uid="{625A9CB4-FA6A-464F-8A77-10BC69603B4D}">
  <cacheSource type="external" connectionId="3"/>
  <cacheFields count="5">
    <cacheField name="[Calendar_Table].[Date (Month)].[Date (Month)]" caption="Date (Month)" numFmtId="0" hierarchy="1" level="1">
      <sharedItems containsSemiMixedTypes="0" containsNonDate="0" containsString="0"/>
    </cacheField>
    <cacheField name="[Measures].[Count of Patient Admission Flag]" caption="Count of Patient Admission Flag" numFmtId="0" hierarchy="28" level="32767"/>
    <cacheField name="[Hospital Emergency Room Data].[Patient Admission Flag].[Patient Admission Flag]" caption="Patient Admission Flag" numFmtId="0" hierarchy="12" level="1">
      <sharedItems count="2">
        <s v="Admitted"/>
        <s v="Not Admitted"/>
      </sharedItems>
    </cacheField>
    <cacheField name="[Calendar_Table].[Date (Year)].[Date (Year)]" caption="Date (Year)" numFmtId="0" hierarchy="3" level="1">
      <sharedItems containsSemiMixedTypes="0" containsNonDate="0" containsString="0"/>
    </cacheField>
    <cacheField name="Dummy0" numFmtId="0" hierarchy="33" level="32767">
      <extLst>
        <ext xmlns:x14="http://schemas.microsoft.com/office/spreadsheetml/2009/9/main" uri="{63CAB8AC-B538-458d-9737-405883B0398D}">
          <x14:cacheField ignore="1"/>
        </ext>
      </extLst>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61.417508449071" createdVersion="5" refreshedVersion="8" minRefreshableVersion="3" recordCount="0" supportSubquery="1" supportAdvancedDrill="1" xr:uid="{8D879226-1AC1-4828-885C-C535E0B7FF4A}">
  <cacheSource type="external" connectionId="3"/>
  <cacheFields count="4">
    <cacheField name="[Calendar_Table].[Date (Month)].[Date (Month)]" caption="Date (Month)" numFmtId="0" hierarchy="1" level="1">
      <sharedItems containsSemiMixedTypes="0" containsNonDate="0" containsString="0"/>
    </cacheField>
    <cacheField name="[Measures].[Count of Age Group]" caption="Count of Age Group" numFmtId="0" hierarchy="29" level="32767"/>
    <cacheField name="[Hospital Emergency Room Data].[Age Group].[Age Group]" caption="Age Group" numFmtId="0" hierarchy="15" level="1">
      <sharedItems count="8">
        <s v="0-09"/>
        <s v="10-19"/>
        <s v="20-29"/>
        <s v="30-39"/>
        <s v="40-49"/>
        <s v="50-59"/>
        <s v="60-69"/>
        <s v="70-79"/>
      </sharedItems>
    </cacheField>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2"/>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oneField="1" hidden="1">
      <fieldsUsage count="1">
        <fieldUsage x="1"/>
      </fieldsUsage>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61.417509027779" createdVersion="5" refreshedVersion="8" minRefreshableVersion="3" recordCount="0" supportSubquery="1" supportAdvancedDrill="1" xr:uid="{F93A5C17-AAE0-45B8-8E9D-F44DDBE41B25}">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6" level="1">
      <sharedItems count="2">
        <s v="Delay"/>
        <s v="Ontime"/>
      </sharedItems>
    </cacheField>
    <cacheField name="[Measures].[Count of Patient attend Status]" caption="Count of Patient attend Status" numFmtId="0" hierarchy="30" level="32767"/>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61.41750949074" createdVersion="5" refreshedVersion="8" minRefreshableVersion="3" recordCount="0" supportSubquery="1" supportAdvancedDrill="1" xr:uid="{D5E0F732-5957-47C7-9A27-DF15E34E669E}">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8" level="1">
      <sharedItems count="2">
        <s v="Female"/>
        <s v="Male"/>
      </sharedItems>
    </cacheField>
    <cacheField name="[Measures].[Count of Patient Gender]" caption="Count of Patient Gender" numFmtId="0" hierarchy="31" level="32767"/>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61.417510069441" createdVersion="5" refreshedVersion="8" minRefreshableVersion="3" recordCount="0" supportSubquery="1" supportAdvancedDrill="1" xr:uid="{2BE8FB0F-DB6B-43CF-999A-5564CAFB4B3A}">
  <cacheSource type="external" connectionId="3"/>
  <cacheFields count="4">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1" level="1">
      <sharedItems count="8">
        <s v="Cardiology"/>
        <s v="Gastroenterology"/>
        <s v="General Practice"/>
        <s v="Neurology"/>
        <s v="None"/>
        <s v="Orthopedics"/>
        <s v="Physiotherapy"/>
        <s v="Renal"/>
      </sharedItems>
    </cacheField>
    <cacheField name="[Measures].[Count of Department Referral]" caption="Count of Department Referral" numFmtId="0" hierarchy="32" level="32767"/>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61.417510648149" createdVersion="5" refreshedVersion="8" minRefreshableVersion="3" recordCount="0" supportSubquery="1" supportAdvancedDrill="1" xr:uid="{716D6ED6-1828-43C9-AD5E-3B5B6391D660}">
  <cacheSource type="external" connectionId="3"/>
  <cacheFields count="3">
    <cacheField name="[Calendar_Table].[Date (Month)].[Date (Month)]" caption="Date (Month)" numFmtId="0" hierarchy="1" level="1">
      <sharedItems containsSemiMixedTypes="0" containsNonDate="0" containsString="0"/>
    </cacheField>
    <cacheField name="[Calendar_Table].[Date].[Date]" caption="Date" numFmtId="0" level="1">
      <sharedItems containsSemiMixedTypes="0" containsNonDate="0" containsDate="1" containsString="0" minDate="2023-05-01T00:00:00" maxDate="2024-06-01T00:00:00" count="62">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sharedItems>
    </cacheField>
    <cacheField name="[Calendar_Table].[Date (Year)].[Date (Year)]" caption="Date (Year)" numFmtId="0" hierarchy="3" level="1">
      <sharedItems count="1">
        <s v="2024"/>
      </sharedItems>
    </cacheField>
  </cacheFields>
  <cacheHierarchies count="33">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61.417367592592" createdVersion="3" refreshedVersion="8" minRefreshableVersion="3" recordCount="0" supportSubquery="1" supportAdvancedDrill="1" xr:uid="{AB601293-A8B8-4CDB-8BF7-9F68B40D1713}">
  <cacheSource type="external" connectionId="3">
    <extLst>
      <ext xmlns:x14="http://schemas.microsoft.com/office/spreadsheetml/2009/9/main" uri="{F057638F-6D5F-4e77-A914-E7F072B9BCA8}">
        <x14:sourceConnection name="ThisWorkbookDataModel"/>
      </ext>
    </extLst>
  </cacheSource>
  <cacheFields count="0"/>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slicerData="1" pivotCacheId="121616388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BD82724-1CF5-4B86-8698-0E48C28E2AFD}" name="PivotTable13" cacheId="1389" applyNumberFormats="0" applyBorderFormats="0" applyFontFormats="0" applyPatternFormats="0" applyAlignmentFormats="0" applyWidthHeightFormats="1" dataCaption="Values" tag="73f8007e-d06b-4084-b8c0-27529000b0a1" updatedVersion="8" minRefreshableVersion="3" itemPrintTitles="1" createdVersion="5" indent="0" outline="1" outlineData="1" multipleFieldFilters="0" chartFormat="30">
  <location ref="A89:A91" firstHeaderRow="1" firstDataRow="1" firstDataCol="1"/>
  <pivotFields count="3">
    <pivotField allDrilled="1" subtotalTop="0" showAll="0" dataSourceSort="1" defaultSubtotal="0" defaultAttributeDrillState="1"/>
    <pivotField axis="axisRow" allDrilled="1" subtotalTop="0" showAll="0"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s="1" x="0" e="0"/>
      </items>
    </pivotField>
  </pivotFields>
  <rowFields count="2">
    <field x="2"/>
    <field x="1"/>
  </rowFields>
  <rowItems count="2">
    <i>
      <x/>
    </i>
    <i t="grand">
      <x/>
    </i>
  </rowItems>
  <formats count="1">
    <format dxfId="382">
      <pivotArea outline="0" collapsedLevelsAreSubtotals="1" fieldPosition="0"/>
    </format>
  </formats>
  <pivotHierarchies count="33">
    <pivotHierarchy dragToData="1"/>
    <pivotHierarchy multipleItemSelectionAllowed="1" dragToData="1">
      <members count="1" level="1">
        <member name="[Calendar_Table].[Date (Month)].&amp;[May]"/>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3"/>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88D8295-F2ED-43AB-9375-EBA85A2AAF08}" name="PivotTable12" cacheId="1386" applyNumberFormats="0" applyBorderFormats="0" applyFontFormats="0" applyPatternFormats="0" applyAlignmentFormats="0" applyWidthHeightFormats="1" dataCaption="Values" tag="73f8007e-d06b-4084-b8c0-27529000b0a1" updatedVersion="8" minRefreshableVersion="3" itemPrintTitles="1" createdVersion="5" indent="0" outline="1" outlineData="1" multipleFieldFilters="0" chartFormat="30">
  <location ref="A76:B85"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1"/>
    </i>
    <i>
      <x/>
    </i>
    <i>
      <x v="6"/>
    </i>
    <i>
      <x v="3"/>
    </i>
    <i>
      <x v="5"/>
    </i>
    <i>
      <x v="2"/>
    </i>
    <i>
      <x v="4"/>
    </i>
    <i t="grand">
      <x/>
    </i>
  </rowItems>
  <colItems count="1">
    <i/>
  </colItems>
  <dataFields count="1">
    <dataField name="Count of Department Referral" fld="2" subtotal="count" baseField="0" baseItem="0"/>
  </dataFields>
  <formats count="1">
    <format dxfId="425">
      <pivotArea outline="0" collapsedLevelsAreSubtotals="1" fieldPosition="0"/>
    </format>
  </formats>
  <chartFormats count="2">
    <chartFormat chart="26"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A2CEB79-8DD0-42B3-9F4C-69F59901A023}" name="PivotTable10" cacheId="1383" applyNumberFormats="0" applyBorderFormats="0" applyFontFormats="0" applyPatternFormats="0" applyAlignmentFormats="0" applyWidthHeightFormats="1" dataCaption="Values" tag="73f8007e-d06b-4084-b8c0-27529000b0a1" updatedVersion="8" minRefreshableVersion="3" itemPrintTitles="1" createdVersion="5" indent="0" outline="1" outlineData="1" multipleFieldFilters="0" chartFormat="26">
  <location ref="A68:B71"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426">
      <pivotArea outline="0" collapsedLevelsAreSubtotals="1" fieldPosition="0"/>
    </format>
  </formats>
  <chartFormats count="10">
    <chartFormat chart="15"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1" count="1" selected="0">
            <x v="0"/>
          </reference>
        </references>
      </pivotArea>
    </chartFormat>
    <chartFormat chart="17" format="3">
      <pivotArea type="data" outline="0" fieldPosition="0">
        <references count="2">
          <reference field="4294967294" count="1" selected="0">
            <x v="0"/>
          </reference>
          <reference field="1" count="1" selected="0">
            <x v="1"/>
          </reference>
        </references>
      </pivotArea>
    </chartFormat>
    <chartFormat chart="19" format="1" series="1">
      <pivotArea type="data" outline="0" fieldPosition="0">
        <references count="1">
          <reference field="4294967294" count="1" selected="0">
            <x v="0"/>
          </reference>
        </references>
      </pivotArea>
    </chartFormat>
    <chartFormat chart="19" format="2">
      <pivotArea type="data" outline="0" fieldPosition="0">
        <references count="2">
          <reference field="4294967294" count="1" selected="0">
            <x v="0"/>
          </reference>
          <reference field="1" count="1" selected="0">
            <x v="0"/>
          </reference>
        </references>
      </pivotArea>
    </chartFormat>
    <chartFormat chart="19" format="3">
      <pivotArea type="data" outline="0" fieldPosition="0">
        <references count="2">
          <reference field="4294967294" count="1" selected="0">
            <x v="0"/>
          </reference>
          <reference field="1" count="1" selected="0">
            <x v="1"/>
          </reference>
        </references>
      </pivotArea>
    </chartFormat>
    <chartFormat chart="23" format="4" series="1">
      <pivotArea type="data" outline="0" fieldPosition="0">
        <references count="1">
          <reference field="4294967294" count="1" selected="0">
            <x v="0"/>
          </reference>
        </references>
      </pivotArea>
    </chartFormat>
    <chartFormat chart="23" format="5">
      <pivotArea type="data" outline="0" fieldPosition="0">
        <references count="2">
          <reference field="4294967294" count="1" selected="0">
            <x v="0"/>
          </reference>
          <reference field="1" count="1" selected="0">
            <x v="0"/>
          </reference>
        </references>
      </pivotArea>
    </chartFormat>
    <chartFormat chart="23" format="6">
      <pivotArea type="data" outline="0" fieldPosition="0">
        <references count="2">
          <reference field="4294967294" count="1" selected="0">
            <x v="0"/>
          </reference>
          <reference field="1" count="1" selected="0">
            <x v="1"/>
          </reference>
        </references>
      </pivotArea>
    </chartFormat>
  </chartFormats>
  <pivotHierarchies count="33">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A43A9A1-3E4B-4A8A-B65E-8A4126EC7F42}" name="PivotTable4" cacheId="1380" applyNumberFormats="0" applyBorderFormats="0" applyFontFormats="0" applyPatternFormats="0" applyAlignmentFormats="0" applyWidthHeightFormats="1" dataCaption="Values" tag="73f8007e-d06b-4084-b8c0-27529000b0a1" updatedVersion="8" minRefreshableVersion="3" itemPrintTitles="1" createdVersion="5" indent="0" outline="1" outlineData="1" multipleFieldFilters="0" chartFormat="15">
  <location ref="A59:B62"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numFmtId="1"/>
  </dataFields>
  <formats count="1">
    <format dxfId="427">
      <pivotArea outline="0" collapsedLevelsAreSubtotals="1" fieldPosition="0"/>
    </format>
  </formats>
  <chartFormats count="7">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1" count="1" selected="0">
            <x v="0"/>
          </reference>
        </references>
      </pivotArea>
    </chartFormat>
    <chartFormat chart="5" format="3">
      <pivotArea type="data" outline="0" fieldPosition="0">
        <references count="2">
          <reference field="4294967294" count="1" selected="0">
            <x v="0"/>
          </reference>
          <reference field="1"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1" count="1" selected="0">
            <x v="0"/>
          </reference>
        </references>
      </pivotArea>
    </chartFormat>
    <chartFormat chart="9" format="6">
      <pivotArea type="data" outline="0" fieldPosition="0">
        <references count="2">
          <reference field="4294967294" count="1" selected="0">
            <x v="0"/>
          </reference>
          <reference field="1" count="1" selected="0">
            <x v="1"/>
          </reference>
        </references>
      </pivotArea>
    </chartFormat>
  </chartFormats>
  <pivotHierarchies count="33">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D2C92D7-1E40-4748-B419-C07F9F2CDD2E}" name="PivotTable3" cacheId="1377" applyNumberFormats="0" applyBorderFormats="0" applyFontFormats="0" applyPatternFormats="0" applyAlignmentFormats="0" applyWidthHeightFormats="1" dataCaption="Values" tag="73f8007e-d06b-4084-b8c0-27529000b0a1" updatedVersion="8" minRefreshableVersion="3" itemPrintTitles="1" createdVersion="5" indent="0" outline="1" outlineData="1" multipleFieldFilters="0" chartFormat="4">
  <location ref="A47:B56"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2"/>
  </rowFields>
  <rowItems count="9">
    <i>
      <x/>
    </i>
    <i>
      <x v="1"/>
    </i>
    <i>
      <x v="2"/>
    </i>
    <i>
      <x v="3"/>
    </i>
    <i>
      <x v="4"/>
    </i>
    <i>
      <x v="5"/>
    </i>
    <i>
      <x v="6"/>
    </i>
    <i>
      <x v="7"/>
    </i>
    <i t="grand">
      <x/>
    </i>
  </rowItems>
  <colItems count="1">
    <i/>
  </colItems>
  <dataFields count="1">
    <dataField name="Count of Age Group" fld="1" subtotal="count" baseField="0" baseItem="0"/>
  </dataFields>
  <formats count="2">
    <format dxfId="429">
      <pivotArea outline="0" collapsedLevelsAreSubtotals="1" fieldPosition="0"/>
    </format>
    <format dxfId="428">
      <pivotArea collapsedLevelsAreSubtotals="1" fieldPosition="0">
        <references count="1">
          <reference field="2" count="0"/>
        </references>
      </pivotArea>
    </format>
  </formats>
  <chartFormats count="1">
    <chartFormat chart="3"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BEE2C0D-197E-47A7-BC1C-D089E6F7CF97}" name="PivotTable2" cacheId="1374" applyNumberFormats="0" applyBorderFormats="0" applyFontFormats="0" applyPatternFormats="0" applyAlignmentFormats="0" applyWidthHeightFormats="1" dataCaption="Values" tag="73f8007e-d06b-4084-b8c0-27529000b0a1" updatedVersion="8" minRefreshableVersion="3" itemPrintTitles="1" createdVersion="5" indent="0" outline="1" outlineData="1" multipleFieldFilters="0" chartFormat="27">
  <location ref="A14:C17"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5">
    <format dxfId="434">
      <pivotArea outline="0" collapsedLevelsAreSubtotals="1" fieldPosition="0"/>
    </format>
    <format dxfId="433">
      <pivotArea collapsedLevelsAreSubtotals="1" fieldPosition="0">
        <references count="1">
          <reference field="2" count="1">
            <x v="0"/>
          </reference>
        </references>
      </pivotArea>
    </format>
    <format dxfId="432">
      <pivotArea collapsedLevelsAreSubtotals="1" fieldPosition="0">
        <references count="1">
          <reference field="2" count="1">
            <x v="1"/>
          </reference>
        </references>
      </pivotArea>
    </format>
    <format dxfId="431">
      <pivotArea outline="0" fieldPosition="0">
        <references count="1">
          <reference field="4294967294" count="1">
            <x v="1"/>
          </reference>
        </references>
      </pivotArea>
    </format>
    <format dxfId="430">
      <pivotArea collapsedLevelsAreSubtotals="1" fieldPosition="0">
        <references count="2">
          <reference field="4294967294" count="1" selected="0">
            <x v="1"/>
          </reference>
          <reference field="2" count="0"/>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s>
  <pivotHierarchies count="34">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034E52B-604D-479D-B624-AC1EF8CA9B14}" name="PivotTable6" cacheId="1365" applyNumberFormats="0" applyBorderFormats="0" applyFontFormats="0" applyPatternFormats="0" applyAlignmentFormats="0" applyWidthHeightFormats="1" dataCaption="Values" tag="73f8007e-d06b-4084-b8c0-27529000b0a1" updatedVersion="8" minRefreshableVersion="3" itemPrintTitles="1" createdVersion="5" indent="0" outline="1" outlineData="1" multipleFieldFilters="0">
  <location ref="A11:A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435">
      <pivotArea outline="0" collapsedLevelsAreSubtotals="1" fieldPosition="0"/>
    </format>
  </formats>
  <pivotHierarchies count="33">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367C63F-F1B4-4C04-9DE3-0A6C940237F8}" name="PivotTable5" cacheId="1362" applyNumberFormats="0" applyBorderFormats="0" applyFontFormats="0" applyPatternFormats="0" applyAlignmentFormats="0" applyWidthHeightFormats="1" dataCaption="Values" tag="9bbe1146-d378-4693-8ab7-d77c0a4a6db4" updatedVersion="8" minRefreshableVersion="3"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436">
      <pivotArea outline="0" collapsedLevelsAreSubtotals="1" fieldPosition="0"/>
    </format>
  </formats>
  <pivotHierarchies count="33">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615FD76-4588-412D-8D64-A9196CD5A44D}" name="PivotTable1" cacheId="1359" applyNumberFormats="0" applyBorderFormats="0" applyFontFormats="0" applyPatternFormats="0" applyAlignmentFormats="0" applyWidthHeightFormats="1" dataCaption="Values" tag="1d452305-8228-4615-af01-ddd4581c8493" updatedVersion="8" minRefreshableVersion="3"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3">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CE25ADB-ECCF-4A83-A757-3D63F28786E3}" name="PivotTable7" cacheId="1356" applyNumberFormats="0" applyBorderFormats="0" applyFontFormats="0" applyPatternFormats="0" applyAlignmentFormats="0" applyWidthHeightFormats="1" dataCaption="Values" tag="9e78eca8-f3bb-46fb-bb6a-8c034f71e323" updatedVersion="8" minRefreshableVersion="3" itemPrintTitles="1" createdVersion="5" indent="0" outline="1" outlineData="1" multipleFieldFilters="0" chartFormat="216">
  <location ref="D4:E36"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4653825-3FD1-45AF-81A6-575C217C039D}" name="PivotTable9" cacheId="1371" applyNumberFormats="0" applyBorderFormats="0" applyFontFormats="0" applyPatternFormats="0" applyAlignmentFormats="0" applyWidthHeightFormats="1" dataCaption="Values" tag="e35f2a9a-d636-4b54-8b66-8748fe7d8beb" updatedVersion="8" minRefreshableVersion="3" itemPrintTitles="1" createdVersion="5" indent="0" outline="1" outlineData="1" multipleFieldFilters="0" chartFormat="240">
  <location ref="J27:K59"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1">
    <format dxfId="437">
      <pivotArea collapsedLevelsAreSubtotals="1" fieldPosition="0">
        <references count="1">
          <reference field="0" count="0"/>
        </references>
      </pivotArea>
    </format>
  </formats>
  <chartFormats count="5">
    <chartFormat chart="231" format="0" series="1">
      <pivotArea type="data" outline="0" fieldPosition="0">
        <references count="1">
          <reference field="4294967294" count="1" selected="0">
            <x v="0"/>
          </reference>
        </references>
      </pivotArea>
    </chartFormat>
    <chartFormat chart="234" format="2" series="1">
      <pivotArea type="data" outline="0" fieldPosition="0">
        <references count="1">
          <reference field="4294967294" count="1" selected="0">
            <x v="0"/>
          </reference>
        </references>
      </pivotArea>
    </chartFormat>
    <chartFormat chart="236" format="3" series="1">
      <pivotArea type="data" outline="0" fieldPosition="0">
        <references count="1">
          <reference field="4294967294" count="1" selected="0">
            <x v="0"/>
          </reference>
        </references>
      </pivotArea>
    </chartFormat>
    <chartFormat chart="237" format="4" series="1">
      <pivotArea type="data" outline="0" fieldPosition="0">
        <references count="1">
          <reference field="4294967294" count="1" selected="0">
            <x v="0"/>
          </reference>
        </references>
      </pivotArea>
    </chartFormat>
    <chartFormat chart="238" format="4"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7D24EC7-E45D-4635-9CAC-951084659794}" name="PivotTable8" cacheId="1368" applyNumberFormats="0" applyBorderFormats="0" applyFontFormats="0" applyPatternFormats="0" applyAlignmentFormats="0" applyWidthHeightFormats="1" dataCaption="Values" tag="157e1102-6ae7-4a39-830c-0fa2c3b35dbe" updatedVersion="8" minRefreshableVersion="3" itemPrintTitles="1" createdVersion="5" indent="0" outline="1" outlineData="1" multipleFieldFilters="0" chartFormat="231">
  <location ref="H3:I35" firstHeaderRow="1" firstDataRow="1" firstDataCol="1"/>
  <pivotFields count="3">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3"/>
  </dataFields>
  <formats count="1">
    <format dxfId="438">
      <pivotArea collapsedLevelsAreSubtotals="1" fieldPosition="0">
        <references count="1">
          <reference field="0" count="0"/>
        </references>
      </pivotArea>
    </format>
  </formats>
  <chartFormats count="3">
    <chartFormat chart="219" format="2" series="1">
      <pivotArea type="data" outline="0" fieldPosition="0">
        <references count="1">
          <reference field="4294967294" count="1" selected="0">
            <x v="0"/>
          </reference>
        </references>
      </pivotArea>
    </chartFormat>
    <chartFormat chart="226" format="4" series="1">
      <pivotArea type="data" outline="0" fieldPosition="0">
        <references count="1">
          <reference field="4294967294" count="1" selected="0">
            <x v="0"/>
          </reference>
        </references>
      </pivotArea>
    </chartFormat>
    <chartFormat chart="230" format="6"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ar_Table].[Date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4E1A5130-4A4F-4345-98FC-115D39C7A4E0}" sourceName="[Calendar_Table].[Date (Month)]">
  <pivotTables>
    <pivotTable tabId="1" name="PivotTable7"/>
    <pivotTable tabId="1" name="PivotTable1"/>
    <pivotTable tabId="1" name="PivotTable5"/>
    <pivotTable tabId="1" name="PivotTable6"/>
    <pivotTable tabId="1" name="PivotTable8"/>
    <pivotTable tabId="1" name="PivotTable9"/>
    <pivotTable tabId="1" name="PivotTable2"/>
    <pivotTable tabId="1" name="PivotTable3"/>
    <pivotTable tabId="1" name="PivotTable4"/>
    <pivotTable tabId="1" name="PivotTable10"/>
    <pivotTable tabId="1" name="PivotTable12"/>
    <pivotTable tabId="1" name="PivotTable13"/>
  </pivotTables>
  <data>
    <olap pivotCacheId="1216163880">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mp;[May]"/>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727F3C2F-45FA-4E76-8003-ABA0F9823DB6}" sourceName="[Calendar_Table].[Date (Year)]">
  <pivotTables>
    <pivotTable tabId="1" name="PivotTable13"/>
    <pivotTable tabId="1" name="PivotTable1"/>
    <pivotTable tabId="1" name="PivotTable10"/>
    <pivotTable tabId="1" name="PivotTable12"/>
    <pivotTable tabId="1" name="PivotTable2"/>
    <pivotTable tabId="1" name="PivotTable3"/>
    <pivotTable tabId="1" name="PivotTable4"/>
    <pivotTable tabId="1" name="PivotTable5"/>
    <pivotTable tabId="1" name="PivotTable6"/>
    <pivotTable tabId="1" name="PivotTable7"/>
    <pivotTable tabId="1" name="PivotTable9"/>
  </pivotTables>
  <data>
    <olap pivotCacheId="1216163880">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Year)" xr10:uid="{EC76A173-2EC2-4265-A2F0-10BC5430F703}" cache="Slicer_Date__Year" caption="Date (Year)" level="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272B043A-707C-4C26-872C-BB5E4BE29520}" cache="Slicer_Date__Month" caption="Date (Month)" showCaption="0" level="1" style="My Style" rowHeight="140400"/>
  <slicer name="Date (Year) 1" xr10:uid="{92D7B4B9-0897-4C63-B632-700461AA09A6}" cache="Slicer_Date__Year" caption="Date (Year)" columnCount="2" showCaption="0" level="1" style="My Style"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EF579-3985-4135-ACC4-8C194A12018F}">
  <dimension ref="A2:K91"/>
  <sheetViews>
    <sheetView topLeftCell="A84" zoomScale="133" zoomScaleNormal="244" workbookViewId="0">
      <selection activeCell="A89" sqref="A89"/>
    </sheetView>
  </sheetViews>
  <sheetFormatPr defaultRowHeight="15" x14ac:dyDescent="0.25"/>
  <cols>
    <col min="1" max="1" width="34.85546875" bestFit="1" customWidth="1"/>
    <col min="2" max="2" width="30.28515625" bestFit="1" customWidth="1"/>
    <col min="3" max="3" width="11.140625" customWidth="1"/>
    <col min="4" max="4" width="23.140625" customWidth="1"/>
    <col min="5" max="5" width="26" bestFit="1" customWidth="1"/>
    <col min="9" max="9" width="26" bestFit="1" customWidth="1"/>
    <col min="11" max="11" width="26.5703125" bestFit="1" customWidth="1"/>
  </cols>
  <sheetData>
    <row r="2" spans="1:9" x14ac:dyDescent="0.25">
      <c r="I2" t="s">
        <v>8</v>
      </c>
    </row>
    <row r="3" spans="1:9" x14ac:dyDescent="0.25">
      <c r="A3" t="s">
        <v>1</v>
      </c>
      <c r="E3" t="s">
        <v>7</v>
      </c>
      <c r="H3" s="1" t="s">
        <v>4</v>
      </c>
      <c r="I3" t="s">
        <v>2</v>
      </c>
    </row>
    <row r="4" spans="1:9" x14ac:dyDescent="0.25">
      <c r="A4" t="s">
        <v>0</v>
      </c>
      <c r="D4" s="1" t="s">
        <v>4</v>
      </c>
      <c r="E4" t="s">
        <v>0</v>
      </c>
      <c r="H4" s="4" t="s">
        <v>9</v>
      </c>
      <c r="I4" s="2">
        <v>33.205882352941174</v>
      </c>
    </row>
    <row r="5" spans="1:9" x14ac:dyDescent="0.25">
      <c r="A5" s="7">
        <v>519</v>
      </c>
      <c r="D5" s="4" t="s">
        <v>9</v>
      </c>
      <c r="E5" s="7">
        <v>14</v>
      </c>
      <c r="H5" s="4" t="s">
        <v>10</v>
      </c>
      <c r="I5" s="2">
        <v>30.135135135135137</v>
      </c>
    </row>
    <row r="6" spans="1:9" x14ac:dyDescent="0.25">
      <c r="D6" s="4" t="s">
        <v>10</v>
      </c>
      <c r="E6" s="7">
        <v>21</v>
      </c>
      <c r="H6" s="4" t="s">
        <v>11</v>
      </c>
      <c r="I6" s="2">
        <v>38.512195121951223</v>
      </c>
    </row>
    <row r="7" spans="1:9" x14ac:dyDescent="0.25">
      <c r="D7" s="4" t="s">
        <v>11</v>
      </c>
      <c r="E7" s="7">
        <v>21</v>
      </c>
      <c r="H7" s="4" t="s">
        <v>12</v>
      </c>
      <c r="I7" s="2">
        <v>34.806451612903224</v>
      </c>
    </row>
    <row r="8" spans="1:9" x14ac:dyDescent="0.25">
      <c r="A8" t="s">
        <v>2</v>
      </c>
      <c r="D8" s="4" t="s">
        <v>12</v>
      </c>
      <c r="E8" s="7">
        <v>15</v>
      </c>
      <c r="H8" s="4" t="s">
        <v>13</v>
      </c>
      <c r="I8" s="2">
        <v>34.517241379310342</v>
      </c>
    </row>
    <row r="9" spans="1:9" x14ac:dyDescent="0.25">
      <c r="A9" s="2">
        <v>35.809248554913296</v>
      </c>
      <c r="D9" s="4" t="s">
        <v>13</v>
      </c>
      <c r="E9" s="7">
        <v>11</v>
      </c>
      <c r="H9" s="4" t="s">
        <v>14</v>
      </c>
      <c r="I9" s="2">
        <v>36.575757575757578</v>
      </c>
    </row>
    <row r="10" spans="1:9" x14ac:dyDescent="0.25">
      <c r="D10" s="4" t="s">
        <v>14</v>
      </c>
      <c r="E10" s="7">
        <v>17</v>
      </c>
      <c r="H10" s="4" t="s">
        <v>15</v>
      </c>
      <c r="I10" s="2">
        <v>35.833333333333336</v>
      </c>
    </row>
    <row r="11" spans="1:9" x14ac:dyDescent="0.25">
      <c r="A11" t="s">
        <v>3</v>
      </c>
      <c r="D11" s="4" t="s">
        <v>15</v>
      </c>
      <c r="E11" s="7">
        <v>15</v>
      </c>
      <c r="H11" s="4" t="s">
        <v>16</v>
      </c>
      <c r="I11" s="2">
        <v>35.567567567567565</v>
      </c>
    </row>
    <row r="12" spans="1:9" x14ac:dyDescent="0.25">
      <c r="A12" s="2">
        <v>5.1455696202531644</v>
      </c>
      <c r="D12" s="4" t="s">
        <v>16</v>
      </c>
      <c r="E12" s="7">
        <v>17</v>
      </c>
      <c r="H12" s="4" t="s">
        <v>17</v>
      </c>
      <c r="I12" s="2">
        <v>36.333333333333336</v>
      </c>
    </row>
    <row r="13" spans="1:9" x14ac:dyDescent="0.25">
      <c r="D13" s="4" t="s">
        <v>17</v>
      </c>
      <c r="E13" s="7">
        <v>13</v>
      </c>
      <c r="H13" s="4" t="s">
        <v>18</v>
      </c>
      <c r="I13" s="2">
        <v>31.351351351351351</v>
      </c>
    </row>
    <row r="14" spans="1:9" x14ac:dyDescent="0.25">
      <c r="A14" s="1" t="s">
        <v>4</v>
      </c>
      <c r="B14" t="s">
        <v>40</v>
      </c>
      <c r="C14" t="s">
        <v>43</v>
      </c>
      <c r="D14" s="4" t="s">
        <v>18</v>
      </c>
      <c r="E14" s="7">
        <v>24</v>
      </c>
      <c r="H14" s="4" t="s">
        <v>19</v>
      </c>
      <c r="I14" s="2">
        <v>31.64516129032258</v>
      </c>
    </row>
    <row r="15" spans="1:9" x14ac:dyDescent="0.25">
      <c r="A15" s="4" t="s">
        <v>41</v>
      </c>
      <c r="B15" s="8">
        <v>266</v>
      </c>
      <c r="C15" s="10">
        <v>0.51252408477842004</v>
      </c>
      <c r="D15" s="4" t="s">
        <v>19</v>
      </c>
      <c r="E15" s="7">
        <v>13</v>
      </c>
      <c r="H15" s="4" t="s">
        <v>20</v>
      </c>
      <c r="I15" s="2">
        <v>40.200000000000003</v>
      </c>
    </row>
    <row r="16" spans="1:9" x14ac:dyDescent="0.25">
      <c r="A16" s="4" t="s">
        <v>42</v>
      </c>
      <c r="B16" s="8">
        <v>253</v>
      </c>
      <c r="C16" s="10">
        <v>0.48747591522157996</v>
      </c>
      <c r="D16" s="4" t="s">
        <v>20</v>
      </c>
      <c r="E16" s="7">
        <v>14</v>
      </c>
      <c r="H16" s="4" t="s">
        <v>21</v>
      </c>
      <c r="I16" s="2">
        <v>38</v>
      </c>
    </row>
    <row r="17" spans="1:11" x14ac:dyDescent="0.25">
      <c r="A17" s="4" t="s">
        <v>5</v>
      </c>
      <c r="B17" s="2">
        <v>519</v>
      </c>
      <c r="C17" s="9">
        <v>1</v>
      </c>
      <c r="D17" s="4" t="s">
        <v>21</v>
      </c>
      <c r="E17" s="7">
        <v>12</v>
      </c>
      <c r="H17" s="4" t="s">
        <v>22</v>
      </c>
      <c r="I17" s="2">
        <v>30.56</v>
      </c>
    </row>
    <row r="18" spans="1:11" x14ac:dyDescent="0.25">
      <c r="D18" s="4" t="s">
        <v>22</v>
      </c>
      <c r="E18" s="7">
        <v>11</v>
      </c>
      <c r="H18" s="4" t="s">
        <v>23</v>
      </c>
      <c r="I18" s="2">
        <v>34.565217391304351</v>
      </c>
    </row>
    <row r="19" spans="1:11" x14ac:dyDescent="0.25">
      <c r="D19" s="4" t="s">
        <v>23</v>
      </c>
      <c r="E19" s="7">
        <v>16</v>
      </c>
      <c r="H19" s="4" t="s">
        <v>24</v>
      </c>
      <c r="I19" s="2">
        <v>32.902439024390247</v>
      </c>
    </row>
    <row r="20" spans="1:11" x14ac:dyDescent="0.25">
      <c r="D20" s="4" t="s">
        <v>24</v>
      </c>
      <c r="E20" s="7">
        <v>20</v>
      </c>
      <c r="H20" s="4" t="s">
        <v>25</v>
      </c>
      <c r="I20" s="2">
        <v>33.451612903225808</v>
      </c>
    </row>
    <row r="21" spans="1:11" x14ac:dyDescent="0.25">
      <c r="D21" s="4" t="s">
        <v>25</v>
      </c>
      <c r="E21" s="7">
        <v>15</v>
      </c>
      <c r="H21" s="4" t="s">
        <v>26</v>
      </c>
      <c r="I21" s="2">
        <v>36.117647058823529</v>
      </c>
    </row>
    <row r="22" spans="1:11" x14ac:dyDescent="0.25">
      <c r="D22" s="4" t="s">
        <v>26</v>
      </c>
      <c r="E22" s="7">
        <v>19</v>
      </c>
      <c r="H22" s="4" t="s">
        <v>27</v>
      </c>
      <c r="I22" s="2">
        <v>36.322580645161288</v>
      </c>
    </row>
    <row r="23" spans="1:11" x14ac:dyDescent="0.25">
      <c r="D23" s="4" t="s">
        <v>27</v>
      </c>
      <c r="E23" s="7">
        <v>16</v>
      </c>
      <c r="H23" s="4" t="s">
        <v>28</v>
      </c>
      <c r="I23" s="2">
        <v>32.806451612903224</v>
      </c>
    </row>
    <row r="24" spans="1:11" x14ac:dyDescent="0.25">
      <c r="D24" s="4" t="s">
        <v>28</v>
      </c>
      <c r="E24" s="7">
        <v>17</v>
      </c>
      <c r="H24" s="4" t="s">
        <v>29</v>
      </c>
      <c r="I24" s="2">
        <v>37.704545454545453</v>
      </c>
    </row>
    <row r="25" spans="1:11" x14ac:dyDescent="0.25">
      <c r="D25" s="4" t="s">
        <v>29</v>
      </c>
      <c r="E25" s="7">
        <v>28</v>
      </c>
      <c r="H25" s="4" t="s">
        <v>30</v>
      </c>
      <c r="I25" s="2">
        <v>36.534883720930232</v>
      </c>
    </row>
    <row r="26" spans="1:11" x14ac:dyDescent="0.25">
      <c r="D26" s="4" t="s">
        <v>30</v>
      </c>
      <c r="E26" s="7">
        <v>22</v>
      </c>
      <c r="H26" s="4" t="s">
        <v>31</v>
      </c>
      <c r="I26" s="2">
        <v>35.303030303030305</v>
      </c>
    </row>
    <row r="27" spans="1:11" x14ac:dyDescent="0.25">
      <c r="D27" s="4" t="s">
        <v>31</v>
      </c>
      <c r="E27" s="7">
        <v>20</v>
      </c>
      <c r="H27" s="4" t="s">
        <v>32</v>
      </c>
      <c r="I27" s="2">
        <v>41.535714285714285</v>
      </c>
      <c r="J27" s="1" t="s">
        <v>4</v>
      </c>
      <c r="K27" t="s">
        <v>3</v>
      </c>
    </row>
    <row r="28" spans="1:11" x14ac:dyDescent="0.25">
      <c r="D28" s="4" t="s">
        <v>32</v>
      </c>
      <c r="E28" s="7">
        <v>17</v>
      </c>
      <c r="H28" s="4" t="s">
        <v>33</v>
      </c>
      <c r="I28" s="2">
        <v>38.147058823529413</v>
      </c>
      <c r="J28" s="4" t="s">
        <v>9</v>
      </c>
      <c r="K28" s="2">
        <v>7.4</v>
      </c>
    </row>
    <row r="29" spans="1:11" x14ac:dyDescent="0.25">
      <c r="D29" s="4" t="s">
        <v>33</v>
      </c>
      <c r="E29" s="7">
        <v>18</v>
      </c>
      <c r="H29" s="4" t="s">
        <v>34</v>
      </c>
      <c r="I29" s="2">
        <v>37.166666666666664</v>
      </c>
      <c r="J29" s="4" t="s">
        <v>10</v>
      </c>
      <c r="K29" s="2">
        <v>5.6</v>
      </c>
    </row>
    <row r="30" spans="1:11" x14ac:dyDescent="0.25">
      <c r="D30" s="4" t="s">
        <v>34</v>
      </c>
      <c r="E30" s="7">
        <v>13</v>
      </c>
      <c r="H30" s="4" t="s">
        <v>35</v>
      </c>
      <c r="I30" s="2">
        <v>33.629629629629626</v>
      </c>
      <c r="J30" s="4" t="s">
        <v>11</v>
      </c>
      <c r="K30" s="2">
        <v>6.7142857142857144</v>
      </c>
    </row>
    <row r="31" spans="1:11" x14ac:dyDescent="0.25">
      <c r="D31" s="4" t="s">
        <v>35</v>
      </c>
      <c r="E31" s="7">
        <v>13</v>
      </c>
      <c r="H31" s="4" t="s">
        <v>36</v>
      </c>
      <c r="I31" s="2">
        <v>33.130434782608695</v>
      </c>
      <c r="J31" s="4" t="s">
        <v>12</v>
      </c>
      <c r="K31" s="2">
        <v>6</v>
      </c>
    </row>
    <row r="32" spans="1:11" x14ac:dyDescent="0.25">
      <c r="D32" s="4" t="s">
        <v>36</v>
      </c>
      <c r="E32" s="7">
        <v>13</v>
      </c>
      <c r="H32" s="4" t="s">
        <v>37</v>
      </c>
      <c r="I32" s="2">
        <v>36.085714285714289</v>
      </c>
      <c r="J32" s="4" t="s">
        <v>13</v>
      </c>
      <c r="K32" s="2">
        <v>4</v>
      </c>
    </row>
    <row r="33" spans="1:11" x14ac:dyDescent="0.25">
      <c r="D33" s="4" t="s">
        <v>37</v>
      </c>
      <c r="E33" s="7">
        <v>20</v>
      </c>
      <c r="H33" s="4" t="s">
        <v>38</v>
      </c>
      <c r="I33" s="2">
        <v>33.512820512820511</v>
      </c>
      <c r="J33" s="4" t="s">
        <v>14</v>
      </c>
      <c r="K33" s="2">
        <v>4.7142857142857144</v>
      </c>
    </row>
    <row r="34" spans="1:11" x14ac:dyDescent="0.25">
      <c r="D34" s="4" t="s">
        <v>38</v>
      </c>
      <c r="E34" s="7">
        <v>15</v>
      </c>
      <c r="H34" s="4" t="s">
        <v>39</v>
      </c>
      <c r="I34" s="2">
        <v>33.733333333333334</v>
      </c>
      <c r="J34" s="4" t="s">
        <v>15</v>
      </c>
      <c r="K34" s="2">
        <v>1.8</v>
      </c>
    </row>
    <row r="35" spans="1:11" x14ac:dyDescent="0.25">
      <c r="D35" s="4" t="s">
        <v>39</v>
      </c>
      <c r="E35" s="7">
        <v>19</v>
      </c>
      <c r="H35" s="4" t="s">
        <v>5</v>
      </c>
      <c r="I35" s="7">
        <v>35.146146146146144</v>
      </c>
      <c r="J35" s="4" t="s">
        <v>16</v>
      </c>
      <c r="K35" s="2">
        <v>4.833333333333333</v>
      </c>
    </row>
    <row r="36" spans="1:11" x14ac:dyDescent="0.25">
      <c r="D36" s="4" t="s">
        <v>5</v>
      </c>
      <c r="E36" s="7">
        <v>519</v>
      </c>
      <c r="J36" s="4" t="s">
        <v>17</v>
      </c>
      <c r="K36" s="2">
        <v>4.25</v>
      </c>
    </row>
    <row r="37" spans="1:11" x14ac:dyDescent="0.25">
      <c r="J37" s="4" t="s">
        <v>18</v>
      </c>
      <c r="K37" s="2">
        <v>4.5999999999999996</v>
      </c>
    </row>
    <row r="38" spans="1:11" x14ac:dyDescent="0.25">
      <c r="J38" s="4" t="s">
        <v>19</v>
      </c>
      <c r="K38" s="2">
        <v>6.5</v>
      </c>
    </row>
    <row r="39" spans="1:11" x14ac:dyDescent="0.25">
      <c r="J39" s="4" t="s">
        <v>20</v>
      </c>
      <c r="K39" s="2">
        <v>5</v>
      </c>
    </row>
    <row r="40" spans="1:11" x14ac:dyDescent="0.25">
      <c r="A40" s="11" t="s">
        <v>44</v>
      </c>
      <c r="B40" s="11" t="s">
        <v>45</v>
      </c>
      <c r="C40" s="11" t="s">
        <v>46</v>
      </c>
      <c r="J40" s="4" t="s">
        <v>21</v>
      </c>
      <c r="K40" s="2">
        <v>6</v>
      </c>
    </row>
    <row r="41" spans="1:11" x14ac:dyDescent="0.25">
      <c r="A41" s="12" t="str">
        <f>A16</f>
        <v>Not Admitted</v>
      </c>
      <c r="B41" s="12">
        <f t="shared" ref="B41:C41" si="0">B16</f>
        <v>253</v>
      </c>
      <c r="C41" s="13">
        <f t="shared" si="0"/>
        <v>0.48747591522157996</v>
      </c>
      <c r="J41" s="4" t="s">
        <v>22</v>
      </c>
      <c r="K41" s="2">
        <v>4.7142857142857144</v>
      </c>
    </row>
    <row r="42" spans="1:11" x14ac:dyDescent="0.25">
      <c r="A42" s="12" t="str">
        <f>A15</f>
        <v>Admitted</v>
      </c>
      <c r="B42" s="12">
        <f t="shared" ref="B42:C42" si="1">B15</f>
        <v>266</v>
      </c>
      <c r="C42" s="13">
        <f t="shared" si="1"/>
        <v>0.51252408477842004</v>
      </c>
      <c r="J42" s="4" t="s">
        <v>23</v>
      </c>
      <c r="K42" s="2">
        <v>4.2</v>
      </c>
    </row>
    <row r="43" spans="1:11" x14ac:dyDescent="0.25">
      <c r="J43" s="4" t="s">
        <v>24</v>
      </c>
      <c r="K43" s="2">
        <v>7.2</v>
      </c>
    </row>
    <row r="44" spans="1:11" x14ac:dyDescent="0.25">
      <c r="J44" s="4" t="s">
        <v>25</v>
      </c>
      <c r="K44" s="2">
        <v>4.333333333333333</v>
      </c>
    </row>
    <row r="45" spans="1:11" x14ac:dyDescent="0.25">
      <c r="J45" s="4" t="s">
        <v>26</v>
      </c>
      <c r="K45" s="2">
        <v>3.7777777777777777</v>
      </c>
    </row>
    <row r="46" spans="1:11" x14ac:dyDescent="0.25">
      <c r="J46" s="4" t="s">
        <v>27</v>
      </c>
      <c r="K46" s="2">
        <v>3.6666666666666665</v>
      </c>
    </row>
    <row r="47" spans="1:11" x14ac:dyDescent="0.25">
      <c r="A47" s="1" t="s">
        <v>4</v>
      </c>
      <c r="B47" t="s">
        <v>47</v>
      </c>
      <c r="J47" s="4" t="s">
        <v>28</v>
      </c>
      <c r="K47" s="2">
        <v>4</v>
      </c>
    </row>
    <row r="48" spans="1:11" x14ac:dyDescent="0.25">
      <c r="A48" s="4" t="s">
        <v>48</v>
      </c>
      <c r="B48" s="8">
        <v>73</v>
      </c>
      <c r="J48" s="4" t="s">
        <v>29</v>
      </c>
      <c r="K48" s="2">
        <v>5.833333333333333</v>
      </c>
    </row>
    <row r="49" spans="1:11" x14ac:dyDescent="0.25">
      <c r="A49" s="4" t="s">
        <v>49</v>
      </c>
      <c r="B49" s="8">
        <v>64</v>
      </c>
      <c r="J49" s="4" t="s">
        <v>30</v>
      </c>
      <c r="K49" s="2">
        <v>5.666666666666667</v>
      </c>
    </row>
    <row r="50" spans="1:11" x14ac:dyDescent="0.25">
      <c r="A50" s="4" t="s">
        <v>50</v>
      </c>
      <c r="B50" s="8">
        <v>74</v>
      </c>
      <c r="J50" s="4" t="s">
        <v>31</v>
      </c>
      <c r="K50" s="2">
        <v>5.5</v>
      </c>
    </row>
    <row r="51" spans="1:11" x14ac:dyDescent="0.25">
      <c r="A51" s="4" t="s">
        <v>51</v>
      </c>
      <c r="B51" s="8">
        <v>71</v>
      </c>
      <c r="J51" s="4" t="s">
        <v>32</v>
      </c>
      <c r="K51" s="2">
        <v>5.5</v>
      </c>
    </row>
    <row r="52" spans="1:11" x14ac:dyDescent="0.25">
      <c r="A52" s="4" t="s">
        <v>52</v>
      </c>
      <c r="B52" s="8">
        <v>58</v>
      </c>
      <c r="J52" s="4" t="s">
        <v>33</v>
      </c>
      <c r="K52" s="2">
        <v>7</v>
      </c>
    </row>
    <row r="53" spans="1:11" x14ac:dyDescent="0.25">
      <c r="A53" s="4" t="s">
        <v>53</v>
      </c>
      <c r="B53" s="8">
        <v>68</v>
      </c>
      <c r="J53" s="4" t="s">
        <v>34</v>
      </c>
      <c r="K53" s="2">
        <v>7</v>
      </c>
    </row>
    <row r="54" spans="1:11" x14ac:dyDescent="0.25">
      <c r="A54" s="4" t="s">
        <v>54</v>
      </c>
      <c r="B54" s="8">
        <v>62</v>
      </c>
      <c r="J54" s="4" t="s">
        <v>35</v>
      </c>
      <c r="K54" s="2">
        <v>4</v>
      </c>
    </row>
    <row r="55" spans="1:11" x14ac:dyDescent="0.25">
      <c r="A55" s="4" t="s">
        <v>55</v>
      </c>
      <c r="B55" s="8">
        <v>49</v>
      </c>
      <c r="J55" s="4" t="s">
        <v>36</v>
      </c>
      <c r="K55" s="2">
        <v>4.4444444444444446</v>
      </c>
    </row>
    <row r="56" spans="1:11" x14ac:dyDescent="0.25">
      <c r="A56" s="4" t="s">
        <v>5</v>
      </c>
      <c r="B56" s="2">
        <v>519</v>
      </c>
      <c r="J56" s="4" t="s">
        <v>37</v>
      </c>
      <c r="K56" s="2">
        <v>4.8571428571428568</v>
      </c>
    </row>
    <row r="57" spans="1:11" x14ac:dyDescent="0.25">
      <c r="J57" s="4" t="s">
        <v>38</v>
      </c>
      <c r="K57" s="2">
        <v>5.5714285714285712</v>
      </c>
    </row>
    <row r="58" spans="1:11" x14ac:dyDescent="0.25">
      <c r="J58" s="4" t="s">
        <v>39</v>
      </c>
      <c r="K58" s="2">
        <v>6</v>
      </c>
    </row>
    <row r="59" spans="1:11" x14ac:dyDescent="0.25">
      <c r="A59" s="1" t="s">
        <v>4</v>
      </c>
      <c r="B59" t="s">
        <v>58</v>
      </c>
      <c r="J59" s="4" t="s">
        <v>5</v>
      </c>
      <c r="K59" s="7">
        <v>5.1455696202531644</v>
      </c>
    </row>
    <row r="60" spans="1:11" x14ac:dyDescent="0.25">
      <c r="A60" s="4" t="s">
        <v>57</v>
      </c>
      <c r="B60" s="8">
        <v>324</v>
      </c>
    </row>
    <row r="61" spans="1:11" x14ac:dyDescent="0.25">
      <c r="A61" s="4" t="s">
        <v>56</v>
      </c>
      <c r="B61" s="8">
        <v>195</v>
      </c>
    </row>
    <row r="62" spans="1:11" x14ac:dyDescent="0.25">
      <c r="A62" s="4" t="s">
        <v>5</v>
      </c>
      <c r="B62" s="8">
        <v>519</v>
      </c>
    </row>
    <row r="68" spans="1:2" x14ac:dyDescent="0.25">
      <c r="A68" s="1" t="s">
        <v>4</v>
      </c>
      <c r="B68" t="s">
        <v>61</v>
      </c>
    </row>
    <row r="69" spans="1:2" x14ac:dyDescent="0.25">
      <c r="A69" s="4" t="s">
        <v>59</v>
      </c>
      <c r="B69" s="8">
        <v>254</v>
      </c>
    </row>
    <row r="70" spans="1:2" x14ac:dyDescent="0.25">
      <c r="A70" s="4" t="s">
        <v>60</v>
      </c>
      <c r="B70" s="8">
        <v>265</v>
      </c>
    </row>
    <row r="71" spans="1:2" x14ac:dyDescent="0.25">
      <c r="A71" s="4" t="s">
        <v>5</v>
      </c>
      <c r="B71" s="8">
        <v>519</v>
      </c>
    </row>
    <row r="76" spans="1:2" x14ac:dyDescent="0.25">
      <c r="A76" s="1" t="s">
        <v>4</v>
      </c>
      <c r="B76" t="s">
        <v>70</v>
      </c>
    </row>
    <row r="77" spans="1:2" x14ac:dyDescent="0.25">
      <c r="A77" s="4" t="s">
        <v>69</v>
      </c>
      <c r="B77" s="8">
        <v>3</v>
      </c>
    </row>
    <row r="78" spans="1:2" x14ac:dyDescent="0.25">
      <c r="A78" s="4" t="s">
        <v>63</v>
      </c>
      <c r="B78" s="8">
        <v>8</v>
      </c>
    </row>
    <row r="79" spans="1:2" x14ac:dyDescent="0.25">
      <c r="A79" s="4" t="s">
        <v>62</v>
      </c>
      <c r="B79" s="8">
        <v>11</v>
      </c>
    </row>
    <row r="80" spans="1:2" x14ac:dyDescent="0.25">
      <c r="A80" s="4" t="s">
        <v>68</v>
      </c>
      <c r="B80" s="8">
        <v>15</v>
      </c>
    </row>
    <row r="81" spans="1:2" x14ac:dyDescent="0.25">
      <c r="A81" s="4" t="s">
        <v>65</v>
      </c>
      <c r="B81" s="8">
        <v>16</v>
      </c>
    </row>
    <row r="82" spans="1:2" x14ac:dyDescent="0.25">
      <c r="A82" s="4" t="s">
        <v>67</v>
      </c>
      <c r="B82" s="8">
        <v>51</v>
      </c>
    </row>
    <row r="83" spans="1:2" x14ac:dyDescent="0.25">
      <c r="A83" s="4" t="s">
        <v>64</v>
      </c>
      <c r="B83" s="8">
        <v>102</v>
      </c>
    </row>
    <row r="84" spans="1:2" x14ac:dyDescent="0.25">
      <c r="A84" s="4" t="s">
        <v>66</v>
      </c>
      <c r="B84" s="8">
        <v>313</v>
      </c>
    </row>
    <row r="85" spans="1:2" x14ac:dyDescent="0.25">
      <c r="A85" s="4" t="s">
        <v>5</v>
      </c>
      <c r="B85" s="8">
        <v>519</v>
      </c>
    </row>
    <row r="89" spans="1:2" x14ac:dyDescent="0.25">
      <c r="A89" s="1" t="s">
        <v>4</v>
      </c>
    </row>
    <row r="90" spans="1:2" x14ac:dyDescent="0.25">
      <c r="A90" s="4" t="s">
        <v>71</v>
      </c>
    </row>
    <row r="91" spans="1:2" x14ac:dyDescent="0.25">
      <c r="A91" s="4" t="s">
        <v>5</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2576B-1095-4F4D-AB48-2561D74255D0}">
  <dimension ref="A1:M16"/>
  <sheetViews>
    <sheetView showGridLines="0" tabSelected="1" zoomScale="130" zoomScaleNormal="130" workbookViewId="0">
      <selection activeCell="L6" sqref="L6"/>
    </sheetView>
  </sheetViews>
  <sheetFormatPr defaultRowHeight="15" x14ac:dyDescent="0.25"/>
  <cols>
    <col min="5" max="5" width="8.85546875" customWidth="1"/>
    <col min="7" max="7" width="8.85546875" customWidth="1"/>
  </cols>
  <sheetData>
    <row r="1" spans="1:13" x14ac:dyDescent="0.25">
      <c r="A1" s="3"/>
      <c r="B1" s="3"/>
      <c r="C1" s="3"/>
      <c r="D1" s="3"/>
      <c r="E1" s="3"/>
      <c r="F1" s="3"/>
      <c r="G1" s="3"/>
      <c r="H1" s="3"/>
      <c r="I1" s="3"/>
      <c r="J1" s="3"/>
      <c r="K1" s="3"/>
      <c r="L1" s="3"/>
      <c r="M1" s="3"/>
    </row>
    <row r="2" spans="1:13" x14ac:dyDescent="0.25">
      <c r="A2" s="3"/>
      <c r="B2" s="3"/>
      <c r="C2" s="3"/>
      <c r="D2" s="3"/>
      <c r="E2" s="3"/>
      <c r="F2" s="3"/>
      <c r="G2" s="3"/>
      <c r="H2" s="3"/>
      <c r="I2" s="3"/>
      <c r="J2" s="3"/>
      <c r="K2" s="3"/>
      <c r="L2" s="3"/>
      <c r="M2" s="3"/>
    </row>
    <row r="3" spans="1:13" x14ac:dyDescent="0.25">
      <c r="A3" s="3"/>
      <c r="B3" s="3"/>
      <c r="C3" s="3"/>
      <c r="D3" s="3"/>
      <c r="E3" s="3"/>
      <c r="F3" s="3"/>
      <c r="G3" s="3"/>
      <c r="H3" s="3"/>
      <c r="I3" s="3"/>
      <c r="J3" s="3"/>
      <c r="K3" s="3"/>
      <c r="L3" s="3"/>
      <c r="M3" s="3"/>
    </row>
    <row r="4" spans="1:13" x14ac:dyDescent="0.25">
      <c r="A4" s="3"/>
      <c r="B4" s="3"/>
      <c r="C4" s="3"/>
      <c r="D4" s="3"/>
      <c r="E4" s="3"/>
      <c r="F4" s="3"/>
      <c r="G4" s="3"/>
      <c r="H4" s="3"/>
      <c r="I4" s="3"/>
      <c r="J4" s="3"/>
      <c r="K4" s="3"/>
      <c r="L4" s="3"/>
      <c r="M4" s="3"/>
    </row>
    <row r="5" spans="1:13" x14ac:dyDescent="0.25">
      <c r="A5" s="3"/>
      <c r="B5" s="3"/>
      <c r="C5" s="3"/>
      <c r="D5" s="3"/>
      <c r="E5" s="3"/>
      <c r="F5" s="3"/>
      <c r="G5" s="3"/>
      <c r="H5" s="3"/>
      <c r="I5" s="3"/>
      <c r="J5" s="3"/>
      <c r="K5" s="3"/>
      <c r="L5" s="3"/>
      <c r="M5" s="3"/>
    </row>
    <row r="6" spans="1:13" x14ac:dyDescent="0.25">
      <c r="A6" s="3"/>
      <c r="B6" s="3"/>
      <c r="C6" s="3"/>
      <c r="D6" s="3"/>
      <c r="E6" s="3"/>
      <c r="F6" s="3"/>
      <c r="G6" s="3"/>
      <c r="H6" s="3"/>
      <c r="I6" s="3"/>
      <c r="J6" s="3"/>
      <c r="K6" s="3"/>
      <c r="L6" s="3"/>
      <c r="M6" s="3"/>
    </row>
    <row r="7" spans="1:13" x14ac:dyDescent="0.25">
      <c r="A7" s="3"/>
      <c r="B7" s="3"/>
      <c r="C7" s="3"/>
      <c r="D7" s="3"/>
      <c r="E7" s="3"/>
      <c r="F7" s="3"/>
      <c r="G7" s="3"/>
      <c r="H7" s="3"/>
      <c r="I7" s="3"/>
      <c r="J7" s="3"/>
      <c r="K7" s="3"/>
      <c r="L7" s="3"/>
      <c r="M7" s="3"/>
    </row>
    <row r="8" spans="1:13" x14ac:dyDescent="0.25">
      <c r="A8" s="3"/>
      <c r="B8" s="3"/>
      <c r="C8" s="3"/>
      <c r="D8" s="3"/>
      <c r="E8" s="3"/>
      <c r="F8" s="3"/>
      <c r="G8" s="3"/>
      <c r="H8" s="3"/>
      <c r="I8" s="3"/>
      <c r="J8" s="3"/>
      <c r="K8" s="3"/>
      <c r="L8" s="3"/>
      <c r="M8" s="3"/>
    </row>
    <row r="9" spans="1:13" x14ac:dyDescent="0.25">
      <c r="A9" s="3"/>
      <c r="B9" s="3"/>
      <c r="C9" s="3"/>
      <c r="D9" s="3"/>
      <c r="E9" s="3"/>
      <c r="F9" s="3"/>
      <c r="G9" s="3"/>
      <c r="H9" s="3"/>
      <c r="I9" s="3"/>
      <c r="J9" s="3"/>
      <c r="K9" s="3"/>
      <c r="L9" s="3"/>
      <c r="M9" s="3"/>
    </row>
    <row r="10" spans="1:13" x14ac:dyDescent="0.25">
      <c r="A10" s="3"/>
      <c r="B10" s="3"/>
      <c r="C10" s="3"/>
      <c r="D10" s="3"/>
      <c r="E10" s="3"/>
      <c r="F10" s="3"/>
      <c r="G10" s="3"/>
      <c r="H10" s="3"/>
      <c r="I10" s="3"/>
      <c r="J10" s="3"/>
      <c r="K10" s="3"/>
      <c r="L10" s="3"/>
      <c r="M10" s="3"/>
    </row>
    <row r="11" spans="1:13" x14ac:dyDescent="0.25">
      <c r="A11" s="3"/>
      <c r="B11" s="3"/>
      <c r="C11" s="3"/>
      <c r="D11" s="3"/>
      <c r="E11" s="3"/>
      <c r="F11" s="3"/>
      <c r="G11" s="3"/>
      <c r="H11" s="3"/>
      <c r="I11" s="3"/>
      <c r="J11" s="3"/>
      <c r="K11" s="3"/>
      <c r="L11" s="3"/>
      <c r="M11" s="3"/>
    </row>
    <row r="12" spans="1:13" x14ac:dyDescent="0.25">
      <c r="A12" s="3"/>
      <c r="B12" s="3"/>
      <c r="C12" s="3"/>
      <c r="D12" s="3"/>
      <c r="E12" s="3"/>
      <c r="F12" s="3"/>
      <c r="G12" s="3"/>
      <c r="H12" s="3"/>
      <c r="I12" s="3"/>
      <c r="J12" s="3"/>
      <c r="K12" s="3"/>
      <c r="L12" s="3"/>
      <c r="M12" s="3"/>
    </row>
    <row r="13" spans="1:13" x14ac:dyDescent="0.25">
      <c r="A13" s="3"/>
      <c r="B13" s="3"/>
      <c r="C13" s="3"/>
      <c r="D13" s="3"/>
      <c r="E13" s="3"/>
      <c r="F13" s="3"/>
      <c r="G13" s="3"/>
      <c r="H13" s="3"/>
      <c r="I13" s="3"/>
      <c r="J13" s="3"/>
      <c r="K13" s="3"/>
      <c r="L13" s="3"/>
      <c r="M13" s="3"/>
    </row>
    <row r="14" spans="1:13" x14ac:dyDescent="0.25">
      <c r="A14" s="3"/>
      <c r="B14" s="3"/>
      <c r="C14" s="3"/>
      <c r="D14" s="3"/>
      <c r="E14" s="3"/>
      <c r="F14" s="3"/>
      <c r="G14" s="3"/>
      <c r="H14" s="3"/>
      <c r="I14" s="3"/>
      <c r="J14" s="3"/>
      <c r="K14" s="3"/>
      <c r="L14" s="3"/>
      <c r="M14" s="3"/>
    </row>
    <row r="15" spans="1:13" x14ac:dyDescent="0.25">
      <c r="A15" s="3"/>
      <c r="B15" s="3"/>
      <c r="C15" s="3"/>
      <c r="D15" s="3"/>
      <c r="E15" s="3"/>
      <c r="F15" s="3"/>
      <c r="G15" s="3"/>
      <c r="H15" s="3"/>
      <c r="I15" s="3"/>
      <c r="J15" s="3"/>
      <c r="K15" s="3"/>
      <c r="L15" s="3"/>
      <c r="M15" s="3"/>
    </row>
    <row r="16" spans="1:13" x14ac:dyDescent="0.25">
      <c r="A16" s="3"/>
      <c r="B16" s="3"/>
      <c r="C16" s="3"/>
      <c r="D16" s="3"/>
      <c r="E16" s="3"/>
      <c r="F16" s="3"/>
      <c r="G16" s="3"/>
      <c r="H16" s="3"/>
      <c r="I16" s="3"/>
      <c r="J16" s="3"/>
      <c r="K16" s="3"/>
      <c r="L16" s="3"/>
      <c r="M16" s="3"/>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31219-897E-4D0F-9286-BFAA9503A4D4}">
  <dimension ref="A1"/>
  <sheetViews>
    <sheetView workbookViewId="0"/>
  </sheetViews>
  <sheetFormatPr defaultRowHeight="15"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5D98A-DBAE-49BB-B5D9-F9965B634B22}">
  <dimension ref="A1:O18"/>
  <sheetViews>
    <sheetView zoomScale="160" zoomScaleNormal="160" workbookViewId="0"/>
  </sheetViews>
  <sheetFormatPr defaultRowHeight="15" x14ac:dyDescent="0.25"/>
  <sheetData>
    <row r="1" spans="1:15" x14ac:dyDescent="0.25">
      <c r="A1" s="5"/>
      <c r="B1" s="5"/>
      <c r="C1" s="5"/>
      <c r="D1" s="5"/>
      <c r="E1" s="5"/>
      <c r="F1" s="5"/>
      <c r="G1" s="5"/>
      <c r="H1" s="5"/>
      <c r="I1" s="5"/>
      <c r="J1" s="5"/>
      <c r="K1" s="5"/>
      <c r="L1" s="5"/>
      <c r="M1" s="5"/>
      <c r="N1" s="5"/>
      <c r="O1" s="5"/>
    </row>
    <row r="2" spans="1:15" x14ac:dyDescent="0.25">
      <c r="A2" s="5"/>
      <c r="B2" s="5"/>
      <c r="C2" s="5"/>
      <c r="D2" s="5"/>
      <c r="E2" s="5"/>
      <c r="F2" s="5"/>
      <c r="G2" s="5"/>
      <c r="H2" s="5"/>
      <c r="I2" s="5"/>
      <c r="J2" s="5"/>
      <c r="K2" s="5"/>
      <c r="L2" s="5"/>
      <c r="M2" s="5"/>
      <c r="N2" s="5"/>
      <c r="O2" s="5"/>
    </row>
    <row r="3" spans="1:15" x14ac:dyDescent="0.25">
      <c r="A3" s="5"/>
      <c r="B3" s="5"/>
      <c r="C3" s="5"/>
      <c r="D3" s="5"/>
      <c r="E3" s="5"/>
      <c r="F3" s="5"/>
      <c r="G3" s="5"/>
      <c r="H3" s="5"/>
      <c r="I3" s="5"/>
      <c r="J3" s="5"/>
      <c r="K3" s="5"/>
      <c r="L3" s="5"/>
      <c r="M3" s="5"/>
      <c r="N3" s="5"/>
      <c r="O3" s="5"/>
    </row>
    <row r="4" spans="1:15" x14ac:dyDescent="0.25">
      <c r="A4" s="5"/>
      <c r="B4" s="5"/>
      <c r="C4" s="5"/>
      <c r="D4" s="5"/>
      <c r="E4" s="5"/>
      <c r="F4" s="5"/>
      <c r="G4" s="5"/>
      <c r="H4" s="5"/>
      <c r="I4" s="5"/>
      <c r="J4" s="5"/>
      <c r="K4" s="5"/>
      <c r="L4" s="5"/>
      <c r="M4" s="5"/>
      <c r="N4" s="5"/>
      <c r="O4" s="5"/>
    </row>
    <row r="5" spans="1:15" x14ac:dyDescent="0.25">
      <c r="A5" s="5"/>
      <c r="B5" s="5"/>
      <c r="C5" s="5"/>
      <c r="D5" s="5"/>
      <c r="E5" s="5"/>
      <c r="F5" s="5"/>
      <c r="G5" s="5"/>
      <c r="H5" s="5"/>
      <c r="I5" s="5"/>
      <c r="J5" s="5"/>
      <c r="K5" s="5"/>
      <c r="L5" s="5"/>
      <c r="M5" s="5"/>
      <c r="N5" s="5"/>
      <c r="O5" s="5"/>
    </row>
    <row r="6" spans="1:15" x14ac:dyDescent="0.25">
      <c r="A6" s="5"/>
      <c r="B6" s="5"/>
      <c r="C6" s="5"/>
      <c r="D6" s="5"/>
      <c r="E6" s="5"/>
      <c r="F6" s="5"/>
      <c r="G6" s="5"/>
      <c r="H6" s="5"/>
      <c r="I6" s="5"/>
      <c r="J6" s="5"/>
      <c r="K6" s="5"/>
      <c r="L6" s="5"/>
      <c r="M6" s="5"/>
      <c r="N6" s="5"/>
      <c r="O6" s="5"/>
    </row>
    <row r="7" spans="1:15" x14ac:dyDescent="0.25">
      <c r="A7" s="5"/>
      <c r="B7" s="5"/>
      <c r="C7" s="5"/>
      <c r="D7" s="5"/>
      <c r="E7" s="5"/>
      <c r="F7" s="5"/>
      <c r="G7" s="5"/>
      <c r="H7" s="5"/>
      <c r="I7" s="5"/>
      <c r="J7" s="5"/>
      <c r="K7" s="5"/>
      <c r="L7" s="5"/>
      <c r="M7" s="5"/>
      <c r="N7" s="5"/>
      <c r="O7" s="5"/>
    </row>
    <row r="8" spans="1:15" x14ac:dyDescent="0.25">
      <c r="A8" s="5"/>
      <c r="B8" s="5"/>
      <c r="C8" s="5"/>
      <c r="D8" s="5"/>
      <c r="E8" s="5"/>
      <c r="F8" s="5"/>
      <c r="G8" s="5"/>
      <c r="H8" s="5"/>
      <c r="I8" s="5"/>
      <c r="J8" s="5"/>
      <c r="K8" s="5"/>
      <c r="L8" s="5"/>
      <c r="M8" s="5"/>
      <c r="N8" s="5"/>
      <c r="O8" s="5"/>
    </row>
    <row r="9" spans="1:15" x14ac:dyDescent="0.25">
      <c r="A9" s="5"/>
      <c r="B9" s="5"/>
      <c r="C9" s="5"/>
      <c r="D9" s="5"/>
      <c r="E9" s="5"/>
      <c r="F9" s="5"/>
      <c r="G9" s="5"/>
      <c r="H9" s="5"/>
      <c r="I9" s="5"/>
      <c r="J9" s="5"/>
      <c r="K9" s="5"/>
      <c r="L9" s="5"/>
      <c r="M9" s="5"/>
      <c r="N9" s="5"/>
      <c r="O9" s="5"/>
    </row>
    <row r="10" spans="1:15" x14ac:dyDescent="0.25">
      <c r="A10" s="5"/>
      <c r="B10" s="5"/>
      <c r="C10" s="5"/>
      <c r="D10" s="5"/>
      <c r="E10" s="5"/>
      <c r="F10" s="5"/>
      <c r="G10" s="5"/>
      <c r="H10" s="5"/>
      <c r="I10" s="5"/>
      <c r="J10" s="5"/>
      <c r="K10" s="5"/>
      <c r="L10" s="5"/>
      <c r="M10" s="5"/>
      <c r="N10" s="5"/>
      <c r="O10" s="5"/>
    </row>
    <row r="11" spans="1:15" x14ac:dyDescent="0.25">
      <c r="A11" s="5"/>
      <c r="B11" s="5"/>
      <c r="C11" s="5"/>
      <c r="D11" s="5"/>
      <c r="E11" s="5"/>
      <c r="F11" s="5"/>
      <c r="G11" s="5"/>
      <c r="H11" s="5"/>
      <c r="I11" s="5"/>
      <c r="J11" s="5"/>
      <c r="K11" s="5"/>
      <c r="L11" s="5"/>
      <c r="M11" s="5"/>
      <c r="N11" s="5"/>
      <c r="O11" s="5"/>
    </row>
    <row r="12" spans="1:15" x14ac:dyDescent="0.25">
      <c r="A12" s="5"/>
      <c r="B12" s="5"/>
      <c r="C12" s="5"/>
      <c r="D12" s="5"/>
      <c r="E12" s="5"/>
      <c r="F12" s="5"/>
      <c r="G12" s="5"/>
      <c r="H12" s="5"/>
      <c r="I12" s="5"/>
      <c r="J12" s="5"/>
      <c r="K12" s="5"/>
      <c r="L12" s="5"/>
      <c r="M12" s="5"/>
      <c r="N12" s="5"/>
      <c r="O12" s="5"/>
    </row>
    <row r="13" spans="1:15" x14ac:dyDescent="0.25">
      <c r="A13" s="5"/>
      <c r="B13" s="5"/>
      <c r="C13" s="5"/>
      <c r="D13" s="5"/>
      <c r="E13" s="5"/>
      <c r="F13" s="5"/>
      <c r="G13" s="5"/>
      <c r="H13" s="5"/>
      <c r="I13" s="5"/>
      <c r="J13" s="5"/>
      <c r="K13" s="5"/>
      <c r="L13" s="5"/>
      <c r="M13" s="5"/>
      <c r="N13" s="5"/>
      <c r="O13" s="5"/>
    </row>
    <row r="14" spans="1:15" x14ac:dyDescent="0.25">
      <c r="A14" s="5"/>
      <c r="B14" s="5"/>
      <c r="C14" s="5"/>
      <c r="D14" s="5"/>
      <c r="E14" s="5"/>
      <c r="F14" s="5"/>
      <c r="G14" s="5"/>
      <c r="H14" s="5"/>
      <c r="I14" s="5"/>
      <c r="J14" s="5"/>
      <c r="K14" s="5"/>
      <c r="L14" s="5"/>
      <c r="M14" s="5"/>
      <c r="N14" s="5"/>
      <c r="O14" s="5"/>
    </row>
    <row r="15" spans="1:15" x14ac:dyDescent="0.25">
      <c r="A15" s="5"/>
      <c r="B15" s="6" t="s">
        <v>6</v>
      </c>
      <c r="C15" s="5"/>
      <c r="D15" s="5"/>
      <c r="E15" s="5"/>
      <c r="F15" s="5"/>
      <c r="G15" s="5"/>
      <c r="H15" s="5"/>
      <c r="I15" s="5"/>
      <c r="J15" s="5"/>
      <c r="K15" s="5"/>
      <c r="L15" s="5"/>
      <c r="M15" s="5"/>
      <c r="N15" s="5"/>
      <c r="O15" s="5"/>
    </row>
    <row r="16" spans="1:15" x14ac:dyDescent="0.25">
      <c r="A16" s="5"/>
      <c r="B16" s="5"/>
      <c r="C16" s="5"/>
      <c r="D16" s="5"/>
      <c r="E16" s="5"/>
      <c r="F16" s="5"/>
      <c r="G16" s="5"/>
      <c r="H16" s="5"/>
      <c r="I16" s="5"/>
      <c r="J16" s="5"/>
      <c r="K16" s="5"/>
      <c r="L16" s="5"/>
      <c r="M16" s="5"/>
      <c r="N16" s="5"/>
      <c r="O16" s="5"/>
    </row>
    <row r="17" spans="1:15" x14ac:dyDescent="0.25">
      <c r="A17" s="5"/>
      <c r="B17" s="5"/>
      <c r="C17" s="5"/>
      <c r="D17" s="5"/>
      <c r="E17" s="5"/>
      <c r="F17" s="5"/>
      <c r="G17" s="5"/>
      <c r="H17" s="5"/>
      <c r="I17" s="5"/>
      <c r="J17" s="5"/>
      <c r="K17" s="5"/>
      <c r="L17" s="5"/>
      <c r="M17" s="5"/>
      <c r="N17" s="5"/>
      <c r="O17" s="5"/>
    </row>
    <row r="18" spans="1:15" x14ac:dyDescent="0.25">
      <c r="A18" s="5"/>
      <c r="B18" s="5"/>
      <c r="C18" s="5"/>
      <c r="D18" s="5"/>
      <c r="E18" s="5"/>
      <c r="F18" s="5"/>
      <c r="G18" s="5"/>
      <c r="H18" s="5"/>
      <c r="I18" s="5"/>
      <c r="J18" s="5"/>
      <c r="K18" s="5"/>
      <c r="L18" s="5"/>
      <c r="M18" s="5"/>
      <c r="N18" s="5"/>
      <c r="O18" s="5"/>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E8C34-1D5E-47D4-BD64-2259416CC702}">
  <dimension ref="A1"/>
  <sheetViews>
    <sheetView workbookViewId="0"/>
  </sheetViews>
  <sheetFormatPr defaultRowHeight="15"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80A69D05-6864-4142-A108-1BA96DFA4DE4}">
  <ds:schemaRefs/>
</ds:datastoreItem>
</file>

<file path=customXml/itemProps2.xml><?xml version="1.0" encoding="utf-8"?>
<ds:datastoreItem xmlns:ds="http://schemas.openxmlformats.org/officeDocument/2006/customXml" ds:itemID="{116593C4-B610-4EE8-AD5A-F6F7F6A81FB2}">
  <ds:schemaRefs/>
</ds:datastoreItem>
</file>

<file path=customXml/itemProps3.xml><?xml version="1.0" encoding="utf-8"?>
<ds:datastoreItem xmlns:ds="http://schemas.openxmlformats.org/officeDocument/2006/customXml" ds:itemID="{057C8880-76B2-49AE-8C98-CCD979D0FFA8}">
  <ds:schemaRefs/>
</ds:datastoreItem>
</file>

<file path=customXml/itemProps4.xml><?xml version="1.0" encoding="utf-8"?>
<ds:datastoreItem xmlns:ds="http://schemas.openxmlformats.org/officeDocument/2006/customXml" ds:itemID="{475FF370-F0BF-47FA-A54F-78A3006A96FA}">
  <ds:schemaRefs/>
</ds:datastoreItem>
</file>

<file path=customXml/itemProps5.xml><?xml version="1.0" encoding="utf-8"?>
<ds:datastoreItem xmlns:ds="http://schemas.openxmlformats.org/officeDocument/2006/customXml" ds:itemID="{61FCE7D1-8102-4BC7-8008-2E979091CA9B}">
  <ds:schemaRefs/>
</ds:datastoreItem>
</file>

<file path=customXml/itemProps6.xml><?xml version="1.0" encoding="utf-8"?>
<ds:datastoreItem xmlns:ds="http://schemas.openxmlformats.org/officeDocument/2006/customXml" ds:itemID="{F81D5B90-85DC-4B8A-A319-47989870B4E4}">
  <ds:schemaRefs/>
</ds:datastoreItem>
</file>

<file path=customXml/itemProps7.xml><?xml version="1.0" encoding="utf-8"?>
<ds:datastoreItem xmlns:ds="http://schemas.openxmlformats.org/officeDocument/2006/customXml" ds:itemID="{BAE379F0-60C9-4BD7-8CA3-E9CB8EE0B7B3}">
  <ds:schemaRefs/>
</ds:datastoreItem>
</file>

<file path=customXml/itemProps8.xml><?xml version="1.0" encoding="utf-8"?>
<ds:datastoreItem xmlns:ds="http://schemas.openxmlformats.org/officeDocument/2006/customXml" ds:itemID="{DD0BC13B-3645-4967-95E2-FF0132D9444B}">
  <ds:schemaRefs/>
</ds:datastoreItem>
</file>

<file path=customXml/itemProps9.xml><?xml version="1.0" encoding="utf-8"?>
<ds:datastoreItem xmlns:ds="http://schemas.openxmlformats.org/officeDocument/2006/customXml" ds:itemID="{8F6E7591-6813-4DD6-8F69-4CFEAAAE715E}">
  <ds:schemaRefs/>
</ds:datastoreItem>
</file>

<file path=customXml/itemProps10.xml><?xml version="1.0" encoding="utf-8"?>
<ds:datastoreItem xmlns:ds="http://schemas.openxmlformats.org/officeDocument/2006/customXml" ds:itemID="{D5ABD098-8F26-4449-BCD0-4C1CFFA069A0}">
  <ds:schemaRefs/>
</ds:datastoreItem>
</file>

<file path=customXml/itemProps11.xml><?xml version="1.0" encoding="utf-8"?>
<ds:datastoreItem xmlns:ds="http://schemas.openxmlformats.org/officeDocument/2006/customXml" ds:itemID="{ACED6C20-4423-4FF6-863B-D41AC09D8683}">
  <ds:schemaRefs/>
</ds:datastoreItem>
</file>

<file path=customXml/itemProps12.xml><?xml version="1.0" encoding="utf-8"?>
<ds:datastoreItem xmlns:ds="http://schemas.openxmlformats.org/officeDocument/2006/customXml" ds:itemID="{3B8BDEDE-4214-43A8-A91B-EFF7D8108D07}">
  <ds:schemaRefs/>
</ds:datastoreItem>
</file>

<file path=customXml/itemProps13.xml><?xml version="1.0" encoding="utf-8"?>
<ds:datastoreItem xmlns:ds="http://schemas.openxmlformats.org/officeDocument/2006/customXml" ds:itemID="{46456E61-B037-4F6F-A77E-EFC146F68978}">
  <ds:schemaRefs/>
</ds:datastoreItem>
</file>

<file path=customXml/itemProps14.xml><?xml version="1.0" encoding="utf-8"?>
<ds:datastoreItem xmlns:ds="http://schemas.openxmlformats.org/officeDocument/2006/customXml" ds:itemID="{6BDD6A76-6BEA-44A3-A232-D73F08709116}">
  <ds:schemaRefs/>
</ds:datastoreItem>
</file>

<file path=customXml/itemProps15.xml><?xml version="1.0" encoding="utf-8"?>
<ds:datastoreItem xmlns:ds="http://schemas.openxmlformats.org/officeDocument/2006/customXml" ds:itemID="{C02E2CBA-E654-45B6-87C4-3FA895D372BA}">
  <ds:schemaRefs/>
</ds:datastoreItem>
</file>

<file path=customXml/itemProps16.xml><?xml version="1.0" encoding="utf-8"?>
<ds:datastoreItem xmlns:ds="http://schemas.openxmlformats.org/officeDocument/2006/customXml" ds:itemID="{0E450466-89EE-47DB-8AB4-9132B18C244B}">
  <ds:schemaRefs/>
</ds:datastoreItem>
</file>

<file path=customXml/itemProps17.xml><?xml version="1.0" encoding="utf-8"?>
<ds:datastoreItem xmlns:ds="http://schemas.openxmlformats.org/officeDocument/2006/customXml" ds:itemID="{0185C27E-386B-4DDF-B4D2-A72EFD8613C7}">
  <ds:schemaRefs/>
</ds:datastoreItem>
</file>

<file path=customXml/itemProps18.xml><?xml version="1.0" encoding="utf-8"?>
<ds:datastoreItem xmlns:ds="http://schemas.openxmlformats.org/officeDocument/2006/customXml" ds:itemID="{EDD46A23-0D4C-42B9-B70B-3B028EF7A29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Average Wait Time</vt:lpstr>
      <vt:lpstr>Daily ER No of patient</vt:lpstr>
      <vt:lpstr>Satisfaction Score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Satish Dhawale</dc:creator>
  <cp:lastModifiedBy>kanchan chavan</cp:lastModifiedBy>
  <dcterms:created xsi:type="dcterms:W3CDTF">2025-01-22T07:08:48Z</dcterms:created>
  <dcterms:modified xsi:type="dcterms:W3CDTF">2026-02-08T04:31:34Z</dcterms:modified>
</cp:coreProperties>
</file>